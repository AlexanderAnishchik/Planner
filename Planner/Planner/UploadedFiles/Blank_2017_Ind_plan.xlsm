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Загрузки\"/>
    </mc:Choice>
  </mc:AlternateContent>
  <bookViews>
    <workbookView xWindow="0" yWindow="0" windowWidth="20490" windowHeight="7905" tabRatio="659"/>
  </bookViews>
  <sheets>
    <sheet name="ТИТУЛ" sheetId="1" r:id="rId1"/>
    <sheet name="РОЗПОДІЛ" sheetId="17" r:id="rId2"/>
    <sheet name="НАВЧАЛЬНА РОБОТА" sheetId="15" r:id="rId3"/>
    <sheet name="МЕТОД+НАУК+ОРГАН" sheetId="4" r:id="rId4"/>
    <sheet name="ЗМІНИ ТА ВИСНОВКИ" sheetId="11" r:id="rId5"/>
    <sheet name="СПИСКИ (пароль 123)" sheetId="22" r:id="rId6"/>
    <sheet name="метод" sheetId="19" r:id="rId7"/>
    <sheet name="наук" sheetId="20" r:id="rId8"/>
    <sheet name="органз" sheetId="21" r:id="rId9"/>
  </sheets>
  <definedNames>
    <definedName name="_xlnm._FilterDatabase" localSheetId="6" hidden="1">метод!$A$13:$C$103</definedName>
    <definedName name="_xlnm._FilterDatabase" localSheetId="7" hidden="1">наук!$A$13:$D$65</definedName>
    <definedName name="_xlnm._FilterDatabase" localSheetId="8" hidden="1">органз!$A$13:$D$59</definedName>
    <definedName name="_xlnm.Criteria" localSheetId="6">метод!$A$2:$C$2</definedName>
    <definedName name="_xlnm.Criteria" localSheetId="7">наук!$A$2:$C$2</definedName>
    <definedName name="_xlnm.Criteria" localSheetId="8">органз!$A$2:$C$2</definedName>
    <definedName name="_xlnm.Print_Area" localSheetId="3">'МЕТОД+НАУК+ОРГАН'!$A$1:$F$38</definedName>
    <definedName name="_xlnm.Print_Area" localSheetId="2">'НАВЧАЛЬНА РОБОТА'!$A$1:$AO$59</definedName>
    <definedName name="_xlnm.Print_Area" localSheetId="1">РОЗПОДІЛ!$A$1:$E$34</definedName>
    <definedName name="_xlnm.Print_Area" localSheetId="0">ТИТУЛ!$A$1:$G$40</definedName>
  </definedNames>
  <calcPr calcId="152511"/>
</workbook>
</file>

<file path=xl/calcChain.xml><?xml version="1.0" encoding="utf-8"?>
<calcChain xmlns="http://schemas.openxmlformats.org/spreadsheetml/2006/main">
  <c r="A23" i="17" l="1"/>
  <c r="AO45" i="15" l="1"/>
  <c r="AN45" i="15"/>
  <c r="AN38" i="15"/>
  <c r="AO28" i="15"/>
  <c r="AN16" i="15"/>
  <c r="AO16" i="15"/>
  <c r="AN17" i="15"/>
  <c r="AO17" i="15"/>
  <c r="AN18" i="15"/>
  <c r="AO18" i="15"/>
  <c r="AN19" i="15"/>
  <c r="AO19" i="15"/>
  <c r="AN20" i="15"/>
  <c r="AO20" i="15"/>
  <c r="AN21" i="15"/>
  <c r="AO21" i="15"/>
  <c r="AN22" i="15"/>
  <c r="AO22" i="15"/>
  <c r="AN23" i="15"/>
  <c r="AO23" i="15"/>
  <c r="AN24" i="15"/>
  <c r="AO24" i="15"/>
  <c r="AN25" i="15"/>
  <c r="AO25" i="15"/>
  <c r="AN28" i="15"/>
  <c r="AN29" i="15"/>
  <c r="AO29" i="15"/>
  <c r="AN30" i="15"/>
  <c r="AO30" i="15"/>
  <c r="AN31" i="15"/>
  <c r="AO31" i="15"/>
  <c r="AN32" i="15"/>
  <c r="AO32" i="15"/>
  <c r="AN33" i="15"/>
  <c r="AO33" i="15"/>
  <c r="AN34" i="15"/>
  <c r="AO34" i="15"/>
  <c r="AN35" i="15"/>
  <c r="AO35" i="15"/>
  <c r="AN36" i="15"/>
  <c r="AO36" i="15"/>
  <c r="AN37" i="15"/>
  <c r="AO37" i="15"/>
  <c r="AN39" i="15"/>
  <c r="AN49" i="15" s="1"/>
  <c r="AO39" i="15"/>
  <c r="AN40" i="15"/>
  <c r="AO40" i="15"/>
  <c r="AN41" i="15"/>
  <c r="AO41" i="15"/>
  <c r="AN42" i="15"/>
  <c r="AO42" i="15"/>
  <c r="AN43" i="15"/>
  <c r="AO43" i="15"/>
  <c r="AN44" i="15"/>
  <c r="AO44" i="15"/>
  <c r="AN46" i="15"/>
  <c r="AO46" i="15"/>
  <c r="AN47" i="15"/>
  <c r="AO47" i="15"/>
  <c r="AN48" i="15"/>
  <c r="AO48" i="15"/>
  <c r="AO5" i="15"/>
  <c r="AN6" i="15"/>
  <c r="AO6" i="15"/>
  <c r="AN7" i="15"/>
  <c r="AO7" i="15"/>
  <c r="AN8" i="15"/>
  <c r="AO8" i="15"/>
  <c r="AN9" i="15"/>
  <c r="AO9" i="15"/>
  <c r="AN10" i="15"/>
  <c r="AO10" i="15"/>
  <c r="AN11" i="15"/>
  <c r="AO11" i="15"/>
  <c r="AN12" i="15"/>
  <c r="AO12" i="15"/>
  <c r="AN13" i="15"/>
  <c r="AO13" i="15"/>
  <c r="AN14" i="15"/>
  <c r="AO14" i="15"/>
  <c r="AN5" i="15"/>
  <c r="AO49" i="15" l="1"/>
  <c r="AO38" i="15"/>
  <c r="AO26" i="15"/>
  <c r="AN26" i="15"/>
  <c r="AN27" i="15" s="1"/>
  <c r="AO15" i="15"/>
  <c r="AN15" i="15"/>
  <c r="AN52" i="15"/>
  <c r="AO53" i="15"/>
  <c r="AO50" i="15"/>
  <c r="AO27" i="15"/>
  <c r="AO52" i="15"/>
  <c r="AN53" i="15"/>
  <c r="AN50" i="15"/>
  <c r="B41" i="15"/>
  <c r="B42" i="15"/>
  <c r="B43" i="15"/>
  <c r="B44" i="15"/>
  <c r="B45" i="15"/>
  <c r="B46" i="15"/>
  <c r="B47" i="15"/>
  <c r="B48" i="15"/>
  <c r="B40" i="15"/>
  <c r="B29" i="15"/>
  <c r="B39" i="15"/>
  <c r="B28" i="15"/>
  <c r="B30" i="15"/>
  <c r="B31" i="15"/>
  <c r="B32" i="15"/>
  <c r="B33" i="15"/>
  <c r="B34" i="15"/>
  <c r="B35" i="15"/>
  <c r="B36" i="15"/>
  <c r="B37" i="15"/>
  <c r="B18" i="15"/>
  <c r="B7" i="15"/>
  <c r="B8" i="15"/>
  <c r="B9" i="15"/>
  <c r="B10" i="15"/>
  <c r="B11" i="15"/>
  <c r="B12" i="15"/>
  <c r="B13" i="15"/>
  <c r="B14" i="15"/>
  <c r="B6" i="15"/>
  <c r="B5" i="15"/>
  <c r="B19" i="15"/>
  <c r="B20" i="15"/>
  <c r="B21" i="15"/>
  <c r="B22" i="15"/>
  <c r="B23" i="15"/>
  <c r="B24" i="15"/>
  <c r="B25" i="15"/>
  <c r="B16" i="15"/>
  <c r="B17" i="15" s="1"/>
  <c r="AN55" i="15" l="1"/>
  <c r="D15" i="17" s="1"/>
  <c r="AO55" i="15"/>
  <c r="B31" i="4"/>
  <c r="A31" i="4" s="1"/>
  <c r="B32" i="4"/>
  <c r="A32" i="4" s="1"/>
  <c r="B33" i="4"/>
  <c r="A33" i="4" s="1"/>
  <c r="B34" i="4"/>
  <c r="A34" i="4" s="1"/>
  <c r="B35" i="4"/>
  <c r="A35" i="4" s="1"/>
  <c r="B36" i="4"/>
  <c r="A36" i="4" s="1"/>
  <c r="B7" i="4"/>
  <c r="A7" i="4" s="1"/>
  <c r="B8" i="4"/>
  <c r="A8" i="4" s="1"/>
  <c r="B9" i="4"/>
  <c r="A9" i="4" s="1"/>
  <c r="B10" i="4"/>
  <c r="A10" i="4" s="1"/>
  <c r="B11" i="4"/>
  <c r="A11" i="4" s="1"/>
  <c r="B12" i="4"/>
  <c r="A12" i="4" s="1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A3" i="4" s="1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4" i="19"/>
  <c r="B20" i="4"/>
  <c r="B21" i="4"/>
  <c r="A21" i="4" s="1"/>
  <c r="B22" i="4"/>
  <c r="A22" i="4" s="1"/>
  <c r="B23" i="4"/>
  <c r="A23" i="4" s="1"/>
  <c r="B24" i="4"/>
  <c r="A24" i="4" s="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B30" i="4" s="1"/>
  <c r="D50" i="21"/>
  <c r="D51" i="21"/>
  <c r="D52" i="21"/>
  <c r="D53" i="21"/>
  <c r="D54" i="21"/>
  <c r="D55" i="21"/>
  <c r="D56" i="21"/>
  <c r="D57" i="21"/>
  <c r="D58" i="21"/>
  <c r="D59" i="21"/>
  <c r="D14" i="21"/>
  <c r="D15" i="20"/>
  <c r="D16" i="20"/>
  <c r="A17" i="4" s="1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B19" i="4" s="1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14" i="20"/>
  <c r="A4" i="4" l="1"/>
  <c r="A5" i="4"/>
  <c r="A6" i="4" s="1"/>
  <c r="A29" i="4"/>
  <c r="A30" i="4"/>
  <c r="A18" i="4"/>
  <c r="A19" i="4" s="1"/>
  <c r="A20" i="4" s="1"/>
  <c r="E37" i="4"/>
  <c r="F37" i="4"/>
  <c r="F2" i="17" l="1"/>
  <c r="AQ57" i="15" l="1"/>
  <c r="B59" i="15"/>
  <c r="B57" i="15"/>
  <c r="AQ59" i="15"/>
  <c r="H2" i="1"/>
  <c r="I2" i="1" s="1"/>
  <c r="L2" i="1" s="1"/>
  <c r="B14" i="4" l="1"/>
  <c r="H3" i="1"/>
  <c r="E18" i="17"/>
  <c r="D18" i="17"/>
  <c r="F25" i="4"/>
  <c r="E17" i="17" s="1"/>
  <c r="E25" i="4"/>
  <c r="D17" i="17" s="1"/>
  <c r="F13" i="4"/>
  <c r="E16" i="17" s="1"/>
  <c r="AM49" i="15"/>
  <c r="AL49" i="15"/>
  <c r="AK49" i="15"/>
  <c r="AJ49" i="15"/>
  <c r="AI49" i="15"/>
  <c r="AH49" i="15"/>
  <c r="AE49" i="15"/>
  <c r="AD49" i="15"/>
  <c r="AC49" i="15"/>
  <c r="AB49" i="15"/>
  <c r="AA49" i="15"/>
  <c r="Z49" i="15"/>
  <c r="Y49" i="15"/>
  <c r="X49" i="15"/>
  <c r="W49" i="15"/>
  <c r="V49" i="15"/>
  <c r="U49" i="15"/>
  <c r="T49" i="15"/>
  <c r="S49" i="15"/>
  <c r="R49" i="15"/>
  <c r="Q49" i="15"/>
  <c r="P49" i="15"/>
  <c r="O49" i="15"/>
  <c r="N49" i="15"/>
  <c r="M49" i="15"/>
  <c r="L49" i="15"/>
  <c r="K49" i="15"/>
  <c r="J49" i="15"/>
  <c r="I49" i="15"/>
  <c r="H49" i="15"/>
  <c r="I38" i="15"/>
  <c r="H38" i="15"/>
  <c r="K38" i="15"/>
  <c r="J38" i="15"/>
  <c r="M38" i="15"/>
  <c r="L38" i="15"/>
  <c r="O38" i="15"/>
  <c r="N38" i="15"/>
  <c r="Q38" i="15"/>
  <c r="P38" i="15"/>
  <c r="S38" i="15"/>
  <c r="R38" i="15"/>
  <c r="U38" i="15"/>
  <c r="T38" i="15"/>
  <c r="W38" i="15"/>
  <c r="W50" i="15" s="1"/>
  <c r="V38" i="15"/>
  <c r="Y38" i="15"/>
  <c r="X38" i="15"/>
  <c r="AA38" i="15"/>
  <c r="AA50" i="15" s="1"/>
  <c r="Z38" i="15"/>
  <c r="AC38" i="15"/>
  <c r="AB38" i="15"/>
  <c r="AE38" i="15"/>
  <c r="AE50" i="15" s="1"/>
  <c r="AD38" i="15"/>
  <c r="AI38" i="15"/>
  <c r="AH38" i="15"/>
  <c r="AK38" i="15"/>
  <c r="AK50" i="15" s="1"/>
  <c r="AJ38" i="15"/>
  <c r="AM38" i="15"/>
  <c r="AL38" i="15"/>
  <c r="AM26" i="15"/>
  <c r="AM53" i="15" s="1"/>
  <c r="AL26" i="15"/>
  <c r="AK26" i="15"/>
  <c r="AK53" i="15" s="1"/>
  <c r="AJ26" i="15"/>
  <c r="AI26" i="15"/>
  <c r="AI53" i="15" s="1"/>
  <c r="AH26" i="15"/>
  <c r="AE26" i="15"/>
  <c r="AE53" i="15" s="1"/>
  <c r="AD26" i="15"/>
  <c r="AC26" i="15"/>
  <c r="AC53" i="15" s="1"/>
  <c r="AB26" i="15"/>
  <c r="AA26" i="15"/>
  <c r="AA53" i="15" s="1"/>
  <c r="Z26" i="15"/>
  <c r="Y26" i="15"/>
  <c r="Y53" i="15" s="1"/>
  <c r="X26" i="15"/>
  <c r="W26" i="15"/>
  <c r="W53" i="15" s="1"/>
  <c r="V26" i="15"/>
  <c r="U26" i="15"/>
  <c r="U53" i="15" s="1"/>
  <c r="T26" i="15"/>
  <c r="S26" i="15"/>
  <c r="S53" i="15" s="1"/>
  <c r="R26" i="15"/>
  <c r="Q26" i="15"/>
  <c r="Q53" i="15" s="1"/>
  <c r="P26" i="15"/>
  <c r="O26" i="15"/>
  <c r="O53" i="15" s="1"/>
  <c r="N26" i="15"/>
  <c r="M26" i="15"/>
  <c r="M53" i="15" s="1"/>
  <c r="L26" i="15"/>
  <c r="K26" i="15"/>
  <c r="K53" i="15" s="1"/>
  <c r="J26" i="15"/>
  <c r="I26" i="15"/>
  <c r="I53" i="15" s="1"/>
  <c r="H26" i="15"/>
  <c r="AM15" i="15"/>
  <c r="AL15" i="15"/>
  <c r="AL27" i="15" s="1"/>
  <c r="AK15" i="15"/>
  <c r="AJ15" i="15"/>
  <c r="AJ52" i="15" s="1"/>
  <c r="AI15" i="15"/>
  <c r="AH15" i="15"/>
  <c r="AH27" i="15" s="1"/>
  <c r="AE15" i="15"/>
  <c r="AD15" i="15"/>
  <c r="AD52" i="15" s="1"/>
  <c r="AC15" i="15"/>
  <c r="AB15" i="15"/>
  <c r="AB27" i="15" s="1"/>
  <c r="AA15" i="15"/>
  <c r="Z15" i="15"/>
  <c r="Z52" i="15" s="1"/>
  <c r="Y15" i="15"/>
  <c r="X15" i="15"/>
  <c r="X27" i="15" s="1"/>
  <c r="W15" i="15"/>
  <c r="V15" i="15"/>
  <c r="V52" i="15" s="1"/>
  <c r="U15" i="15"/>
  <c r="T15" i="15"/>
  <c r="T27" i="15" s="1"/>
  <c r="S15" i="15"/>
  <c r="S52" i="15" s="1"/>
  <c r="R15" i="15"/>
  <c r="Q15" i="15"/>
  <c r="P15" i="15"/>
  <c r="O15" i="15"/>
  <c r="O52" i="15" s="1"/>
  <c r="N15" i="15"/>
  <c r="M15" i="15"/>
  <c r="L15" i="15"/>
  <c r="L52" i="15" s="1"/>
  <c r="K15" i="15"/>
  <c r="K27" i="15" s="1"/>
  <c r="J15" i="15"/>
  <c r="I15" i="15"/>
  <c r="H15" i="15"/>
  <c r="Q50" i="15" l="1"/>
  <c r="M50" i="15"/>
  <c r="I50" i="15"/>
  <c r="I27" i="15"/>
  <c r="U27" i="15"/>
  <c r="Y27" i="15"/>
  <c r="AC27" i="15"/>
  <c r="AI27" i="15"/>
  <c r="AM27" i="15"/>
  <c r="J27" i="15"/>
  <c r="AK27" i="15"/>
  <c r="AK52" i="15"/>
  <c r="AK55" i="15" s="1"/>
  <c r="B38" i="4"/>
  <c r="B26" i="4"/>
  <c r="E13" i="4"/>
  <c r="D16" i="17" s="1"/>
  <c r="L53" i="15"/>
  <c r="L55" i="15" s="1"/>
  <c r="N53" i="15"/>
  <c r="P53" i="15"/>
  <c r="T53" i="15"/>
  <c r="V53" i="15"/>
  <c r="V55" i="15" s="1"/>
  <c r="AB53" i="15"/>
  <c r="AD53" i="15"/>
  <c r="AL53" i="15"/>
  <c r="Z50" i="15"/>
  <c r="AJ50" i="15"/>
  <c r="P52" i="15"/>
  <c r="H4" i="1"/>
  <c r="I3" i="1"/>
  <c r="L3" i="1" s="1"/>
  <c r="I52" i="15"/>
  <c r="I55" i="15" s="1"/>
  <c r="M52" i="15"/>
  <c r="M55" i="15" s="1"/>
  <c r="Q52" i="15"/>
  <c r="Q55" i="15" s="1"/>
  <c r="W52" i="15"/>
  <c r="AA52" i="15"/>
  <c r="AA55" i="15" s="1"/>
  <c r="AE52" i="15"/>
  <c r="AE55" i="15" s="1"/>
  <c r="AM50" i="15"/>
  <c r="AI50" i="15"/>
  <c r="AC50" i="15"/>
  <c r="Y50" i="15"/>
  <c r="U50" i="15"/>
  <c r="S50" i="15"/>
  <c r="O50" i="15"/>
  <c r="K50" i="15"/>
  <c r="N52" i="15"/>
  <c r="R52" i="15"/>
  <c r="H50" i="15"/>
  <c r="J50" i="15"/>
  <c r="R50" i="15"/>
  <c r="X50" i="15"/>
  <c r="AH50" i="15"/>
  <c r="J53" i="15"/>
  <c r="R53" i="15"/>
  <c r="X53" i="15"/>
  <c r="AH53" i="15"/>
  <c r="N50" i="15"/>
  <c r="T50" i="15"/>
  <c r="AB50" i="15"/>
  <c r="AL50" i="15"/>
  <c r="Z53" i="15"/>
  <c r="Z55" i="15" s="1"/>
  <c r="AJ53" i="15"/>
  <c r="AJ55" i="15" s="1"/>
  <c r="H52" i="15"/>
  <c r="H53" i="15"/>
  <c r="L50" i="15"/>
  <c r="P50" i="15"/>
  <c r="V50" i="15"/>
  <c r="AD50" i="15"/>
  <c r="S55" i="15"/>
  <c r="AD55" i="15"/>
  <c r="W55" i="15"/>
  <c r="O55" i="15"/>
  <c r="V27" i="15"/>
  <c r="Z27" i="15"/>
  <c r="AD27" i="15"/>
  <c r="AJ27" i="15"/>
  <c r="T52" i="15"/>
  <c r="T55" i="15" s="1"/>
  <c r="X52" i="15"/>
  <c r="AB52" i="15"/>
  <c r="AH52" i="15"/>
  <c r="AL52" i="15"/>
  <c r="AL55" i="15" s="1"/>
  <c r="H27" i="15"/>
  <c r="W27" i="15"/>
  <c r="AA27" i="15"/>
  <c r="AE27" i="15"/>
  <c r="U52" i="15"/>
  <c r="U55" i="15" s="1"/>
  <c r="Y52" i="15"/>
  <c r="Y55" i="15" s="1"/>
  <c r="AC52" i="15"/>
  <c r="AC55" i="15" s="1"/>
  <c r="AI52" i="15"/>
  <c r="AI55" i="15" s="1"/>
  <c r="AM52" i="15"/>
  <c r="AM55" i="15" s="1"/>
  <c r="J52" i="15"/>
  <c r="L27" i="15"/>
  <c r="P27" i="15"/>
  <c r="Q27" i="15"/>
  <c r="M27" i="15"/>
  <c r="N27" i="15"/>
  <c r="R27" i="15"/>
  <c r="K52" i="15"/>
  <c r="K55" i="15" s="1"/>
  <c r="O27" i="15"/>
  <c r="S27" i="15"/>
  <c r="AB55" i="15" l="1"/>
  <c r="N55" i="15"/>
  <c r="R55" i="15"/>
  <c r="J55" i="15"/>
  <c r="AH55" i="15"/>
  <c r="P55" i="15"/>
  <c r="X55" i="15"/>
  <c r="H5" i="1"/>
  <c r="I5" i="1" s="1"/>
  <c r="L5" i="1" s="1"/>
  <c r="I4" i="1"/>
  <c r="L4" i="1" s="1"/>
  <c r="H55" i="15"/>
  <c r="D19" i="17" s="1"/>
  <c r="E15" i="17"/>
  <c r="E19" i="17" l="1"/>
  <c r="F19" i="17"/>
  <c r="G19" i="17" s="1"/>
  <c r="H6" i="1"/>
  <c r="H7" i="1" l="1"/>
  <c r="I6" i="1"/>
  <c r="L6" i="1" s="1"/>
  <c r="H8" i="1" l="1"/>
  <c r="I8" i="1" s="1"/>
  <c r="L8" i="1" s="1"/>
  <c r="I7" i="1"/>
  <c r="L7" i="1" s="1"/>
</calcChain>
</file>

<file path=xl/sharedStrings.xml><?xml version="1.0" encoding="utf-8"?>
<sst xmlns="http://schemas.openxmlformats.org/spreadsheetml/2006/main" count="663" uniqueCount="558">
  <si>
    <t>ІНДИВІДУАЛЬНИЙ ПЛАН</t>
  </si>
  <si>
    <t>РОБОТИ ВИКЛАДАЧА ТА ЇЇ ОБЛІК</t>
  </si>
  <si>
    <t>Кількість студентів</t>
  </si>
  <si>
    <t>Шифр груп (потоків)</t>
  </si>
  <si>
    <t>Примітка</t>
  </si>
  <si>
    <t>Зміст</t>
  </si>
  <si>
    <t>(прізвище, ім'я, по батькові)</t>
  </si>
  <si>
    <t>Навчальний рік</t>
  </si>
  <si>
    <t>Посада</t>
  </si>
  <si>
    <t>Науковий ступінь</t>
  </si>
  <si>
    <t>денна</t>
  </si>
  <si>
    <t>Дата</t>
  </si>
  <si>
    <t>Підпис</t>
  </si>
  <si>
    <t>Форма навчання</t>
  </si>
  <si>
    <t>Проведення заліку</t>
  </si>
  <si>
    <t>Читання лекцій</t>
  </si>
  <si>
    <t>Проведення лабораторних занять</t>
  </si>
  <si>
    <t>Проведення консультацій протягом семестру</t>
  </si>
  <si>
    <t>Проведення екзаменаційних консультацій</t>
  </si>
  <si>
    <t>рефератів, аналітичних оглядів, перекладів</t>
  </si>
  <si>
    <t>Проведення семестрових екзаменів</t>
  </si>
  <si>
    <t>Проведення державних екзаменів</t>
  </si>
  <si>
    <t>Керівництво, консультування, рецензування та проведення захисту дипломних проектів (робіт)</t>
  </si>
  <si>
    <t>Керівництво аспірантами, здобувачами та стажуванням викладачів</t>
  </si>
  <si>
    <t>Курс навчання</t>
  </si>
  <si>
    <t>V. ПЕРЕЛІК ЗМІН У ПЛАНІ РОБОТИ ВИКЛАДАЧА</t>
  </si>
  <si>
    <t>VI.  ВИСНОВОК ПРО ВИКОНАННЯ ПЛАНУ</t>
  </si>
  <si>
    <t xml:space="preserve">VII. ЗАУВАЖЕННЯ ОСІБ, ЯКІ ПЕРЕВІРЯЮТЬ РОБОТУ КАФЕДРИ </t>
  </si>
  <si>
    <t xml:space="preserve">курсових проектів, робіт </t>
  </si>
  <si>
    <t>МІНІСТЕРСТВО ОСВІТИ І НАУКИ УКРАЇНИ                                                                                                                     ХАРКІВСЬКИЙ НАЦІОНАЛЬНИЙ ЕКОНОМІЧНИЙ УНІВЕРСИТЕТ                                      ІМЕНІ СЕМЕНА КУЗНЕЦЯ</t>
  </si>
  <si>
    <t>І. НАВЧАЛЬНА РОБОТА</t>
  </si>
  <si>
    <t>заочна</t>
  </si>
  <si>
    <t>Напрям, спеціальність, факультет</t>
  </si>
  <si>
    <t>пл.</t>
  </si>
  <si>
    <t>РАЗОМ ЗА І СЕМЕСТР</t>
  </si>
  <si>
    <t>РАЗОМ ЗА ІІ СЕМЕСТР</t>
  </si>
  <si>
    <r>
      <rPr>
        <b/>
        <sz val="10"/>
        <rFont val="Times New Roman"/>
        <family val="1"/>
        <charset val="204"/>
      </rPr>
      <t xml:space="preserve">РАЗОМ за навчальний рік </t>
    </r>
    <r>
      <rPr>
        <i/>
        <sz val="10"/>
        <rFont val="Times New Roman"/>
        <family val="1"/>
        <charset val="204"/>
      </rPr>
      <t>(денна)</t>
    </r>
  </si>
  <si>
    <r>
      <rPr>
        <b/>
        <sz val="10"/>
        <rFont val="Times New Roman"/>
        <family val="1"/>
        <charset val="204"/>
      </rPr>
      <t xml:space="preserve">РАЗОМ за навчальний рік </t>
    </r>
    <r>
      <rPr>
        <i/>
        <sz val="10"/>
        <rFont val="Times New Roman"/>
        <family val="1"/>
        <charset val="204"/>
      </rPr>
      <t>(заочна)</t>
    </r>
  </si>
  <si>
    <t>II.  МЕТОДИЧНА   РОБОТА</t>
  </si>
  <si>
    <t>ІІІ. НАУКОВА РОБОТА</t>
  </si>
  <si>
    <t>ІV. ОРГАНІЗАЦІЙНА РОБОТА</t>
  </si>
  <si>
    <t>Загальна кількість годин</t>
  </si>
  <si>
    <t>Підпис  завідувача кафедри</t>
  </si>
  <si>
    <t>Семестр</t>
  </si>
  <si>
    <r>
      <t xml:space="preserve">Підстава                                                  </t>
    </r>
    <r>
      <rPr>
        <i/>
        <sz val="7"/>
        <rFont val="Times New Roman"/>
        <family val="1"/>
        <charset val="204"/>
      </rPr>
      <t>(накази, розпорядження, протоколи засідань кафедри, лікарняні листи)</t>
    </r>
  </si>
  <si>
    <t>РОЗПОДІЛ ЗАГАЛЬНОГО РОБОЧОГО ЧАСУ</t>
  </si>
  <si>
    <t>Повний обсяг роботи за індивідуальним планом:</t>
  </si>
  <si>
    <t>За видами робіт:</t>
  </si>
  <si>
    <t>План</t>
  </si>
  <si>
    <t>Факт</t>
  </si>
  <si>
    <r>
      <t xml:space="preserve">І. </t>
    </r>
    <r>
      <rPr>
        <sz val="14"/>
        <rFont val="Times New Roman"/>
        <family val="1"/>
        <charset val="204"/>
      </rPr>
      <t>Навчальна</t>
    </r>
  </si>
  <si>
    <r>
      <t xml:space="preserve">ІІ. </t>
    </r>
    <r>
      <rPr>
        <sz val="14"/>
        <rFont val="Times New Roman"/>
        <family val="1"/>
        <charset val="204"/>
      </rPr>
      <t>Методична</t>
    </r>
  </si>
  <si>
    <r>
      <t xml:space="preserve">ІII. </t>
    </r>
    <r>
      <rPr>
        <sz val="14"/>
        <rFont val="Times New Roman"/>
        <family val="1"/>
        <charset val="204"/>
      </rPr>
      <t>Наукова</t>
    </r>
  </si>
  <si>
    <r>
      <rPr>
        <b/>
        <sz val="14"/>
        <rFont val="Times New Roman"/>
        <family val="1"/>
        <charset val="204"/>
      </rPr>
      <t xml:space="preserve">IV. </t>
    </r>
    <r>
      <rPr>
        <sz val="14"/>
        <rFont val="Times New Roman"/>
        <family val="1"/>
        <charset val="204"/>
      </rPr>
      <t>Організаційно-виховна</t>
    </r>
  </si>
  <si>
    <t>№ п/п</t>
  </si>
  <si>
    <t>вик.</t>
  </si>
  <si>
    <t>УСЬОГО заочна за І семестр</t>
  </si>
  <si>
    <t>УСЬОГО денна за ІІ семестр</t>
  </si>
  <si>
    <t>УСЬОГО заочна за ІІ семестр</t>
  </si>
  <si>
    <t>УСЬОГО за навчальний рік</t>
  </si>
  <si>
    <t>УСЬОГО</t>
  </si>
  <si>
    <t>Керівництво і прийняття індивідуальних завдань</t>
  </si>
  <si>
    <t>Керівництво навчальною                  і виробничою практикою</t>
  </si>
  <si>
    <t>Термін виконання</t>
  </si>
  <si>
    <r>
      <rPr>
        <b/>
        <sz val="11"/>
        <rFont val="Times New Roman"/>
        <family val="1"/>
        <charset val="204"/>
      </rPr>
      <t xml:space="preserve">Плановий обсяг,   </t>
    </r>
    <r>
      <rPr>
        <sz val="11"/>
        <rFont val="Times New Roman"/>
        <family val="1"/>
        <charset val="204"/>
      </rPr>
      <t xml:space="preserve">                             </t>
    </r>
    <r>
      <rPr>
        <i/>
        <sz val="9"/>
        <rFont val="Times New Roman"/>
        <family val="1"/>
        <charset val="204"/>
      </rPr>
      <t>год</t>
    </r>
  </si>
  <si>
    <r>
      <rPr>
        <b/>
        <sz val="11"/>
        <rFont val="Times New Roman"/>
        <family val="1"/>
        <charset val="204"/>
      </rPr>
      <t>Фактичний обсяг,</t>
    </r>
    <r>
      <rPr>
        <sz val="11"/>
        <rFont val="Times New Roman"/>
        <family val="1"/>
        <charset val="204"/>
      </rPr>
      <t xml:space="preserve">                    </t>
    </r>
    <r>
      <rPr>
        <i/>
        <sz val="9"/>
        <rFont val="Times New Roman"/>
        <family val="1"/>
        <charset val="204"/>
      </rPr>
      <t>год</t>
    </r>
  </si>
  <si>
    <t>№   п/п</t>
  </si>
  <si>
    <r>
      <rPr>
        <b/>
        <sz val="11"/>
        <rFont val="Times New Roman"/>
        <family val="1"/>
        <charset val="204"/>
      </rPr>
      <t xml:space="preserve">Плановий обсяг,   </t>
    </r>
    <r>
      <rPr>
        <sz val="11"/>
        <rFont val="Times New Roman"/>
        <family val="1"/>
        <charset val="204"/>
      </rPr>
      <t xml:space="preserve">                             </t>
    </r>
    <r>
      <rPr>
        <i/>
        <sz val="9"/>
        <rFont val="Times New Roman"/>
        <family val="1"/>
        <charset val="204"/>
      </rPr>
      <t xml:space="preserve">год </t>
    </r>
  </si>
  <si>
    <r>
      <rPr>
        <b/>
        <sz val="11"/>
        <rFont val="Times New Roman"/>
        <family val="1"/>
        <charset val="204"/>
      </rPr>
      <t>Фактичний обсяг,</t>
    </r>
    <r>
      <rPr>
        <sz val="11"/>
        <rFont val="Times New Roman"/>
        <family val="1"/>
        <charset val="204"/>
      </rPr>
      <t xml:space="preserve">                    </t>
    </r>
    <r>
      <rPr>
        <i/>
        <sz val="9"/>
        <rFont val="Times New Roman"/>
        <family val="1"/>
        <charset val="204"/>
      </rPr>
      <t xml:space="preserve">год </t>
    </r>
  </si>
  <si>
    <t>Види робіт</t>
  </si>
  <si>
    <r>
      <rPr>
        <b/>
        <sz val="11"/>
        <rFont val="Times New Roman"/>
        <family val="1"/>
        <charset val="204"/>
      </rPr>
      <t xml:space="preserve">Плановий обсяг,     </t>
    </r>
    <r>
      <rPr>
        <sz val="11"/>
        <rFont val="Times New Roman"/>
        <family val="1"/>
        <charset val="204"/>
      </rPr>
      <t xml:space="preserve">                           </t>
    </r>
    <r>
      <rPr>
        <i/>
        <sz val="9"/>
        <rFont val="Times New Roman"/>
        <family val="1"/>
        <charset val="204"/>
      </rPr>
      <t>год</t>
    </r>
  </si>
  <si>
    <t>Сутність зауважень</t>
  </si>
  <si>
    <t>УСЬОГО денна за І семестр</t>
  </si>
  <si>
    <r>
      <t>Сутність запроваджених змін                                   та їх об</t>
    </r>
    <r>
      <rPr>
        <b/>
        <sz val="11"/>
        <rFont val="Calibri"/>
        <family val="2"/>
        <charset val="204"/>
      </rPr>
      <t>ґ</t>
    </r>
    <r>
      <rPr>
        <b/>
        <sz val="11"/>
        <rFont val="Times New Roman"/>
        <family val="1"/>
        <charset val="204"/>
      </rPr>
      <t>рунтування</t>
    </r>
  </si>
  <si>
    <t>Ставка                            або                                    її частина</t>
  </si>
  <si>
    <t>Назва навчальних дисциплін                                                                             і видів навчальної роботи</t>
  </si>
  <si>
    <t>Факультет</t>
  </si>
  <si>
    <t>Кафедра</t>
  </si>
  <si>
    <t>2015 / 2016</t>
  </si>
  <si>
    <t>розрахункових, графіч-них, розрахунково-графічних робіт</t>
  </si>
  <si>
    <t>Вчене звання</t>
  </si>
  <si>
    <t>2016 / 2017</t>
  </si>
  <si>
    <t>2017 / 2018</t>
  </si>
  <si>
    <t>2018 / 2019</t>
  </si>
  <si>
    <t>E</t>
  </si>
  <si>
    <t>Вибрати з випадаючого списку</t>
  </si>
  <si>
    <t xml:space="preserve">Ввести інформацію </t>
  </si>
  <si>
    <t>Вибрати з випадаючого списку, окрім позиції "Науковий ступінь"</t>
  </si>
  <si>
    <t>Ввести інформацію в позицію "Науковий ступінь"</t>
  </si>
  <si>
    <t>План розглянуто на засіданні кафедри</t>
  </si>
  <si>
    <t xml:space="preserve"> - загальна кількость годин</t>
  </si>
  <si>
    <t>внести інформацію</t>
  </si>
  <si>
    <t>Взаємовідвідування занять</t>
  </si>
  <si>
    <t xml:space="preserve"> "26"серпня 2016 р. Протокол № 1</t>
  </si>
  <si>
    <t>Підготовка засобів активізації навчально-пізнавальної діяльності (технічної візуалізації)</t>
  </si>
  <si>
    <t>1.1.1.1</t>
  </si>
  <si>
    <t>1.1.1.2</t>
  </si>
  <si>
    <t>1.1.2.1</t>
  </si>
  <si>
    <t>1.1.2.2</t>
  </si>
  <si>
    <t>1.1.4.1</t>
  </si>
  <si>
    <t>Підготовка методичних матеріалів семінарських, практичних, лабораторних занять: оновлення методичних матеріалів</t>
  </si>
  <si>
    <t>Підготовка методичних матеріалів семінарських, практичних, лабораторних занять:за новою дисципліною</t>
  </si>
  <si>
    <t>Підготовка конспектів лекцій іноземною мовою:оновлення конспекту лекцій:</t>
  </si>
  <si>
    <t>Підготовка конспектів лекцій іноземною мовою: за новою дисципліною:</t>
  </si>
  <si>
    <t>Підготовка конспектів лекцій: оновлення конспекту лекцій:</t>
  </si>
  <si>
    <t>Підготовка конспектів лекцій: за новою дисципліною</t>
  </si>
  <si>
    <t>1.1.4.2</t>
  </si>
  <si>
    <t>1.1.5.1</t>
  </si>
  <si>
    <t>1.1.5.2</t>
  </si>
  <si>
    <t>Підготовка методичних матеріалів семінарських, практичних, лабораторних занять іноземною мовою:за новою дисципліною</t>
  </si>
  <si>
    <t>Підготовка методичних матеріалів семінарських, практичних, лабораторних занять іноземною мовою:оновлення методичних матеріалів</t>
  </si>
  <si>
    <t>1.2.1.1</t>
  </si>
  <si>
    <t>1.2.1.2</t>
  </si>
  <si>
    <t>1.2.1.3</t>
  </si>
  <si>
    <t>1.2.2.1</t>
  </si>
  <si>
    <t>1.2.2.2</t>
  </si>
  <si>
    <t>1.2.2.3</t>
  </si>
  <si>
    <t>Підготовка матеріалів до СРС іноземною мовою: розробка змісту та завдань до СРС</t>
  </si>
  <si>
    <t>Підготовка матеріалів до СРС іноземною мовою: розробка методичного супроводу щодо виконання завдань для СРС</t>
  </si>
  <si>
    <t>Підготовка матеріалів до СРС іноземною мовою: оновлення методичних матеріалів СРС</t>
  </si>
  <si>
    <t>Підготовка матеріалів до самостійної роботи студентів (СРС): розробка змісту та завдань до СРС</t>
  </si>
  <si>
    <t>Підготовка матеріалів до самостійної роботи студентів (СРС): розробка методичного супроводу щодо виконання завдань для СРС</t>
  </si>
  <si>
    <t>Підготовка матеріалів до самостійної роботи студентів (СРС): оновлення методичних матеріалів СРС</t>
  </si>
  <si>
    <t>1.2.3.1</t>
  </si>
  <si>
    <t>1.2.3.2</t>
  </si>
  <si>
    <t>1.2.3.3</t>
  </si>
  <si>
    <t>1.2.3.4</t>
  </si>
  <si>
    <t>1.2.3.5</t>
  </si>
  <si>
    <t>1.2.3.6</t>
  </si>
  <si>
    <t>Розробка засобів діагностики поточного та підсумкового контролю: розробка засобів поточного контролю</t>
  </si>
  <si>
    <t>Розробка засобів діагностики поточного та підсумкового контролю: складання екзаменаційних білетів</t>
  </si>
  <si>
    <t>Розробка засобів діагностики поточного та підсумкового контролю: складання екзаменаційних білетів до вступних екзаменів (письмових та усних)</t>
  </si>
  <si>
    <t>Розробка засобів діагностики поточного та підсумкового контролю: складання кваліфікаційних завдань до Державного екзамену</t>
  </si>
  <si>
    <t>Розробка засобів діагностики поточного та підсумкового контролю: складання завдань для проведення олімпіади (за наявності наказу)</t>
  </si>
  <si>
    <t>Розробка засобів діагностики поточного та підсумкового контролю: розробка комплексних контрольних робіт для перевірки залишкових знань (за наявності наказу)</t>
  </si>
  <si>
    <t>1.2.5.1</t>
  </si>
  <si>
    <t>1.2.5.2</t>
  </si>
  <si>
    <t>Оновлення засобів діагностики поточного та підсумкового контролю</t>
  </si>
  <si>
    <r>
      <t xml:space="preserve">Розробка та оновлення засобів поточного та підсумкового контролю </t>
    </r>
    <r>
      <rPr>
        <u/>
        <sz val="10"/>
        <rFont val="Times New Roman"/>
        <family val="1"/>
        <charset val="204"/>
      </rPr>
      <t>іноземною мовою</t>
    </r>
    <r>
      <rPr>
        <sz val="10"/>
        <rFont val="Times New Roman"/>
        <family val="1"/>
        <charset val="204"/>
      </rPr>
      <t>: розробка</t>
    </r>
  </si>
  <si>
    <r>
      <t xml:space="preserve">Розробка та оновлення засобів поточного та підсумкового контролю </t>
    </r>
    <r>
      <rPr>
        <u/>
        <sz val="10"/>
        <rFont val="Times New Roman"/>
        <family val="1"/>
        <charset val="204"/>
      </rPr>
      <t>іноземною мовою</t>
    </r>
    <r>
      <rPr>
        <sz val="10"/>
        <rFont val="Times New Roman"/>
        <family val="1"/>
        <charset val="204"/>
      </rPr>
      <t>: оновлення</t>
    </r>
  </si>
  <si>
    <t>Розробка авторських ігрових форм навчання (ділових, рольових, імітаційних ігор та ін.)</t>
  </si>
  <si>
    <t>Розробка авторських тренінгів</t>
  </si>
  <si>
    <t>Авторська розробка кейсів, проблемних завдань та ситуацій для реалізації проблемних методів навчання, завдань та вправ для реалізації
 інтерактивних технологій навчання, диференційованого навчання, реалізації методу проектів тощо</t>
  </si>
  <si>
    <t>1.3.2.1</t>
  </si>
  <si>
    <t>1.3.2.2</t>
  </si>
  <si>
    <t>Розробка авторських тренінгів: оновлення</t>
  </si>
  <si>
    <t>1.4.1.1</t>
  </si>
  <si>
    <t>1.4.1.2</t>
  </si>
  <si>
    <t>Завантаження матеріалів у програмне середовище</t>
  </si>
  <si>
    <t>Завантаження матеріалів у програмне середовище: ведення журналу успішності у системі Moodle</t>
  </si>
  <si>
    <r>
      <t>Завантаження лекційних матеріалів навчальної дисципліни у програмне середовище (</t>
    </r>
    <r>
      <rPr>
        <i/>
        <sz val="10"/>
        <rFont val="Times New Roman"/>
        <family val="1"/>
        <charset val="204"/>
      </rPr>
      <t>конспект лекцій, презентації, відео, аудіо, тощо)</t>
    </r>
  </si>
  <si>
    <r>
      <t xml:space="preserve">Завантаження матеріалів до практичних </t>
    </r>
    <r>
      <rPr>
        <i/>
        <sz val="10"/>
        <rFont val="Times New Roman"/>
        <family val="1"/>
        <charset val="204"/>
      </rPr>
      <t>(семінарсь-ких, лабораторних)</t>
    </r>
    <r>
      <rPr>
        <sz val="10"/>
        <rFont val="Times New Roman"/>
        <family val="1"/>
        <charset val="204"/>
      </rPr>
      <t xml:space="preserve"> занять навчальної дисципліни у програмне середовище</t>
    </r>
  </si>
  <si>
    <t>Розробка глосарію у системі Moodle: не меньш 50 визначень</t>
  </si>
  <si>
    <t>Організація та ведення Вікі, Чату та/або Форуму</t>
  </si>
  <si>
    <t>1.5.1.1</t>
  </si>
  <si>
    <t>Розробка освітньо-професійних та освітньо-наукових програм підготовки фахівців: розробка програм</t>
  </si>
  <si>
    <t>Розробка освітньо-професійних та освітньо-наукових програм підготовки фахівців: оновлення програм</t>
  </si>
  <si>
    <t>1.5.1.2</t>
  </si>
  <si>
    <t>1.5.2.1</t>
  </si>
  <si>
    <t>1.5.2.2</t>
  </si>
  <si>
    <t>Розробка засобів діагностики якості вищої освіти: розробка засобів діагностики</t>
  </si>
  <si>
    <t>Розробка засобів діагностики якості вищої освіти: оновлення засобів діагностики</t>
  </si>
  <si>
    <t>Підготовка інформаційних матеріалів до акредитації, ліцензування</t>
  </si>
  <si>
    <t>1.5.4.1</t>
  </si>
  <si>
    <t>1.5.4.2</t>
  </si>
  <si>
    <t>Підготовка навчальних планів та робочих навчальних планів відповідних освітньо-професійних та освітньо-наукових програм: підготовка навчального плану</t>
  </si>
  <si>
    <t>Підготовка навчальних планів та робочих навчальних планів відповідних освітньо-професійних та освітньо-наукових програм: підготовка робочого навчального плану</t>
  </si>
  <si>
    <t>Підготовка матеріалів освітньо-професійних та освітньо-наукових програм для оприлюднен-ня на сайті університету</t>
  </si>
  <si>
    <t>1.5.6.1</t>
  </si>
  <si>
    <t>1.5.6.2</t>
  </si>
  <si>
    <t>1.5.6.3</t>
  </si>
  <si>
    <t>Розробка варіативної складової освітньо-професійних та освітньо-наукових програм: розробка блоку варіативних навчальних дисциплін (МАЙНОР, МЕЙДЖОР)</t>
  </si>
  <si>
    <t>Розробка варіативної складової освітньо-професійних та освітньо-наукових програм: розробка варіативної навчальної дисципліни (вільний МАЙНОР, МАГ-МАЙНОР)</t>
  </si>
  <si>
    <t>Розробка варіативної складової освітньо-професійних та освітньо-наукових програм: оновлення варіативної складової</t>
  </si>
  <si>
    <t>1.5.7.1</t>
  </si>
  <si>
    <t>1.5.7.2</t>
  </si>
  <si>
    <t>1.5.7.3</t>
  </si>
  <si>
    <t>Розробка програм навчальних дисциплін, робочих програм навчальних дисциплін: розробка навчальної програми</t>
  </si>
  <si>
    <t>Розробка програм навчальних дисциплін, робочих програм навчальних дисциплін: розробка робочої навчальної програми</t>
  </si>
  <si>
    <t>Розробка програм навчальних дисциплін, робочих програм навчальних дисциплін: оновлення</t>
  </si>
  <si>
    <t>Підготовка робочої програми навчальної дисципліни (з компетентнісною базою та технологічною картою оцінювання)</t>
  </si>
  <si>
    <t>Використання інтерактивного інструменту «Завдання»</t>
  </si>
  <si>
    <t>Використання інтерактивного інструменту «Тестування»</t>
  </si>
  <si>
    <r>
      <t>Підготовка методичних</t>
    </r>
    <r>
      <rPr>
        <sz val="10"/>
        <color rgb="FF000000"/>
        <rFont val="Times New Roman"/>
        <family val="1"/>
        <charset val="204"/>
      </rPr>
      <t xml:space="preserve"> рекомендацій до самостійної роботи з навчальної дисципліни</t>
    </r>
  </si>
  <si>
    <r>
      <t xml:space="preserve">Підготовка методичних </t>
    </r>
    <r>
      <rPr>
        <sz val="10"/>
        <color rgb="FF000000"/>
        <rFont val="Times New Roman"/>
        <family val="1"/>
        <charset val="204"/>
      </rPr>
      <t>рекомендацій до тренінгів</t>
    </r>
  </si>
  <si>
    <r>
      <t xml:space="preserve">Підготовка </t>
    </r>
    <r>
      <rPr>
        <sz val="10"/>
        <color rgb="FF000000"/>
        <rFont val="Times New Roman"/>
        <family val="1"/>
        <charset val="204"/>
      </rPr>
      <t>збірника (задач, завдань, вправ, тестів)</t>
    </r>
  </si>
  <si>
    <r>
      <t xml:space="preserve">Підготовка </t>
    </r>
    <r>
      <rPr>
        <sz val="10"/>
        <color rgb="FF000000"/>
        <rFont val="Times New Roman"/>
        <family val="1"/>
        <charset val="204"/>
      </rPr>
      <t>курсу лекцій / конспекту лекцій</t>
    </r>
  </si>
  <si>
    <t xml:space="preserve">Підготовка словника, хрестоматії, довідника, тощо </t>
  </si>
  <si>
    <r>
      <t xml:space="preserve">Підготовка методичних </t>
    </r>
    <r>
      <rPr>
        <sz val="10"/>
        <color rgb="FF000000"/>
        <rFont val="Times New Roman"/>
        <family val="1"/>
        <charset val="204"/>
      </rPr>
      <t>рекомендацій до прове-дення лабораторних робіт у віртуальних середовищах</t>
    </r>
  </si>
  <si>
    <r>
      <t xml:space="preserve">Підготовка методичних </t>
    </r>
    <r>
      <rPr>
        <sz val="10"/>
        <color rgb="FF000000"/>
        <rFont val="Times New Roman"/>
        <family val="1"/>
        <charset val="204"/>
      </rPr>
      <t>рекомендацій до лабораторних занять з навчальної дисципліни / лабораторного практикуму</t>
    </r>
  </si>
  <si>
    <r>
      <t xml:space="preserve">Підготовка методичних </t>
    </r>
    <r>
      <rPr>
        <sz val="10"/>
        <color rgb="FF000000"/>
        <rFont val="Times New Roman"/>
        <family val="1"/>
        <charset val="204"/>
      </rPr>
      <t xml:space="preserve">рекомендацій до проходження практики </t>
    </r>
    <r>
      <rPr>
        <i/>
        <sz val="10"/>
        <color rgb="FF000000"/>
        <rFont val="Times New Roman"/>
        <family val="1"/>
        <charset val="204"/>
      </rPr>
      <t>(навчальної, виробничої, науково-дослідної, переддипломної, тощо)</t>
    </r>
  </si>
  <si>
    <t>Підготовка методичних рекомендацій до практичних занять з навчальної дисципліни / Практикуму</t>
  </si>
  <si>
    <r>
      <t xml:space="preserve">Підготовка </t>
    </r>
    <r>
      <rPr>
        <sz val="10"/>
        <color rgb="FF000000"/>
        <rFont val="Times New Roman"/>
        <family val="1"/>
        <charset val="204"/>
      </rPr>
      <t xml:space="preserve">навчального посібника </t>
    </r>
  </si>
  <si>
    <r>
      <t xml:space="preserve">Підготовка </t>
    </r>
    <r>
      <rPr>
        <sz val="10"/>
        <color rgb="FF000000"/>
        <rFont val="Times New Roman"/>
        <family val="1"/>
        <charset val="204"/>
      </rPr>
      <t>підручника</t>
    </r>
  </si>
  <si>
    <t xml:space="preserve">Навчально-методичного (або науково-методичного) комплексу </t>
  </si>
  <si>
    <r>
      <t xml:space="preserve">Підготовка </t>
    </r>
    <r>
      <rPr>
        <sz val="10"/>
        <color rgb="FF000000"/>
        <rFont val="Times New Roman"/>
        <family val="1"/>
        <charset val="204"/>
      </rPr>
      <t>навчально-методичної літератури іноземною мовою</t>
    </r>
  </si>
  <si>
    <r>
      <t xml:space="preserve">Розроблення інформацій-них матеріалів про освіт-ньо-професійні програми, спеціалізації, кафедри </t>
    </r>
    <r>
      <rPr>
        <i/>
        <sz val="10"/>
        <rFont val="Times New Roman"/>
        <family val="1"/>
        <charset val="204"/>
      </rPr>
      <t>(буклети, плакати, презентації тощо)</t>
    </r>
  </si>
  <si>
    <r>
      <t xml:space="preserve">Підготовка методичних </t>
    </r>
    <r>
      <rPr>
        <sz val="10"/>
        <color rgb="FF000000"/>
        <rFont val="Times New Roman"/>
        <family val="1"/>
        <charset val="204"/>
      </rPr>
      <t>рекомендацій до виконання курсових робіт (проектів)</t>
    </r>
  </si>
  <si>
    <r>
      <t xml:space="preserve">Підготовка методичних </t>
    </r>
    <r>
      <rPr>
        <sz val="10"/>
        <color rgb="FF000000"/>
        <rFont val="Times New Roman"/>
        <family val="1"/>
        <charset val="204"/>
      </rPr>
      <t>рекомендацій до написання дипломних робіт (проектів)</t>
    </r>
  </si>
  <si>
    <t xml:space="preserve">Розробка початкового формату електронного видання.  </t>
  </si>
  <si>
    <t>Створення додаткових елементів мультимедійності: створення анімаційних роликів</t>
  </si>
  <si>
    <t xml:space="preserve">Початковий формат електронного видання, у разі наявності опублікова-ного видання та 50% неоновленого змісту </t>
  </si>
  <si>
    <t>Створення додаткових елементів мультимедійності: створення фрагментів відео-лекцій та відео-уроків  (5-10 хвилин):</t>
  </si>
  <si>
    <t xml:space="preserve">Створення мультимедійного електронного видання (на базі початково-го формату) з елементами початкової інтерактивності: </t>
  </si>
  <si>
    <t>2.2.4.1</t>
  </si>
  <si>
    <t>2.2.4.2</t>
  </si>
  <si>
    <t xml:space="preserve">Створення адаптивності електронного видання, </t>
  </si>
  <si>
    <t>Розробка віртуального навчального середовища</t>
  </si>
  <si>
    <t>Розробка програмних засобів для математичного й імітаційного моделювання</t>
  </si>
  <si>
    <t>Розробка програмних засобів для контролю й вимірювання рівня навча-льних досягнень студентів</t>
  </si>
  <si>
    <t>Розробка електронних тренажерів</t>
  </si>
  <si>
    <r>
      <t xml:space="preserve">Створення / адаптація віртуальних середовищ </t>
    </r>
    <r>
      <rPr>
        <i/>
        <sz val="10"/>
        <color rgb="FF000000"/>
        <rFont val="Times New Roman"/>
        <family val="1"/>
        <charset val="204"/>
      </rPr>
      <t>(господарські організації, фінансові установи, їх функціональні підрозділи)</t>
    </r>
  </si>
  <si>
    <t>Організація проведення комп’ютерних бізнес-симуляцій</t>
  </si>
  <si>
    <t>Організація та проведення методичних заходів кафедри</t>
  </si>
  <si>
    <r>
      <t xml:space="preserve">Організація та проведення методичних загально-університетських семінарів </t>
    </r>
    <r>
      <rPr>
        <i/>
        <sz val="9.5"/>
        <color rgb="FF000000"/>
        <rFont val="Times New Roman"/>
        <family val="1"/>
        <charset val="204"/>
      </rPr>
      <t>(тренінгів, круглих столів)</t>
    </r>
  </si>
  <si>
    <t xml:space="preserve">Організація та проведення методичних міжкафедральних семінарів </t>
  </si>
  <si>
    <t>Перевірка виконання студентами ректорської контрольної роботи  (зрізи залишкових знань)</t>
  </si>
  <si>
    <t>Ведення електронного журналу (в корпоративній мережі)</t>
  </si>
  <si>
    <t>Відповідальний за навчально-методичну роботу на кафедрі</t>
  </si>
  <si>
    <t xml:space="preserve">Методична робота за дорученням адміністрації </t>
  </si>
  <si>
    <t>Переклад методичної літератури та інших матеріалів за дорученням адміністрації університету</t>
  </si>
  <si>
    <t>Створення навчальних елементів високої інтерактивності електронного видання</t>
  </si>
  <si>
    <t>Виконання планових наукових досліджень: керівнику</t>
  </si>
  <si>
    <t>Виконання планових наукових досліджень: виконавцю</t>
  </si>
  <si>
    <t>Розробка інноваційно-дослідницьких проектів: керівнику</t>
  </si>
  <si>
    <t>Розробка інноваційно-дослідницьких проектів: виконавцю</t>
  </si>
  <si>
    <t>Винахідницька робота викладача: міжнародні патенти</t>
  </si>
  <si>
    <t>Винахідницька робота викладача: патенти</t>
  </si>
  <si>
    <t>Винахідницька робота викладача:  патенти на корисну модель</t>
  </si>
  <si>
    <t>Винахідницька робота викладача: свідоцтва на твір</t>
  </si>
  <si>
    <t>3.1.1.1</t>
  </si>
  <si>
    <t>3.1.1.2</t>
  </si>
  <si>
    <t>3.1.2.1</t>
  </si>
  <si>
    <t>3.1.2.2</t>
  </si>
  <si>
    <t>Публікація наукових статей: у журналах, що індексуються у міжнародних  наукометричних базах</t>
  </si>
  <si>
    <t>Публікація наукових статей: у зарубіжних журналах</t>
  </si>
  <si>
    <t>Публікація наукових статей: у фахових вітчизняних виданнях</t>
  </si>
  <si>
    <t>Публікація наукових статей: у вітчизняних виданнях (без науко-метричних даних)</t>
  </si>
  <si>
    <t>Публікація наукових статей: у наукових виданнях, що індексуються у інших міжнародних наукометричних базах:</t>
  </si>
  <si>
    <t>Публікація тез доповідей: тези доповіді в зарубіжних виданнях</t>
  </si>
  <si>
    <t>Публікація тез доповідей: тези доповіді на конференціях, симпозіумах, семінарах (міжнародних, вітчизняних, інших)</t>
  </si>
  <si>
    <t>Публікація наукових статей та тез доповіді іноземною мовою</t>
  </si>
  <si>
    <t>3.4</t>
  </si>
  <si>
    <t>Публікація монографії у вітчизняних   видавництвах: колективна монографія</t>
  </si>
  <si>
    <t>Публікація монографії у вітчизняних   видавництвах: одноосібна монографія</t>
  </si>
  <si>
    <t>Публікація монографії у зарубіжних  видавництвах: колективна монографія</t>
  </si>
  <si>
    <t>Публікація монографії у зарубіжних   видавництвах: одноосібна монографія</t>
  </si>
  <si>
    <t>1.1.1</t>
  </si>
  <si>
    <t>1.1.2</t>
  </si>
  <si>
    <t>1.2.1</t>
  </si>
  <si>
    <t>1.2.2</t>
  </si>
  <si>
    <t>2.1.1</t>
  </si>
  <si>
    <t>2.1.2</t>
  </si>
  <si>
    <t>2.1.3</t>
  </si>
  <si>
    <t>2.1.4</t>
  </si>
  <si>
    <t>3.2.1</t>
  </si>
  <si>
    <t>3.2.2</t>
  </si>
  <si>
    <t>3.2.3</t>
  </si>
  <si>
    <t>3.2.4</t>
  </si>
  <si>
    <t>3.2.5</t>
  </si>
  <si>
    <t>3.3.1</t>
  </si>
  <si>
    <t>3.3.2</t>
  </si>
  <si>
    <t>3.5</t>
  </si>
  <si>
    <t>4.1.1</t>
  </si>
  <si>
    <t>4.1.2</t>
  </si>
  <si>
    <t>4.2</t>
  </si>
  <si>
    <t>5.1.1</t>
  </si>
  <si>
    <t>5.1.2</t>
  </si>
  <si>
    <t>5.1.3</t>
  </si>
  <si>
    <t>Захист дисертацій: на здобуття ступеня доктора наук</t>
  </si>
  <si>
    <t>Захист дисертацій: на здобуття ступеня доктора філософії</t>
  </si>
  <si>
    <t xml:space="preserve">Складання кандидатських екзаменів </t>
  </si>
  <si>
    <t>Керівництво науковою роботою студентів: з підготовки наукових статей</t>
  </si>
  <si>
    <t>Керівництво науковою роботою студентів: з підготовки тез доповідей на конференцію</t>
  </si>
  <si>
    <t>Керівництво науковою роботою студентів: з підготовки заявок на видачу охоронних документів</t>
  </si>
  <si>
    <t>5.2.1.1</t>
  </si>
  <si>
    <t>5.2.1.2</t>
  </si>
  <si>
    <t>5.2.1.3</t>
  </si>
  <si>
    <t>5.2.1.4</t>
  </si>
  <si>
    <t>5.2.1.5</t>
  </si>
  <si>
    <t>Підготовка студентів-переможців та призерів до участі у конкурсах: міжнародний рівень</t>
  </si>
  <si>
    <t>Підготовка студентів-переможців та призерів до участі у конкурсах: всеукраїнський рівень, 1 етап</t>
  </si>
  <si>
    <t>Підготовка студентів-переможців та призерів до участі у конкурсах: всеукраїнський рівень, 2 етап</t>
  </si>
  <si>
    <t>Підготовка студентів-переможців та призерів до участі у конкурсах: регіональний рівень</t>
  </si>
  <si>
    <t>Підготовка студентів-переможців та призерів до участі у конкурсах: університетський рівень</t>
  </si>
  <si>
    <t>Підготовка студентів-переможців та призерів до участі в олімпіаді: міжнародний рівень</t>
  </si>
  <si>
    <t>Підготовка студентів-переможців та призерів до участі в олімпіаді: всеукраїнський рівень, 1 етап</t>
  </si>
  <si>
    <t>Підготовка студентів-переможців та призерів до участі в олімпіаді: всеукраїнський рівень, 2 етап</t>
  </si>
  <si>
    <t>Підготовка студентів-переможців та призерів до участі в олімпіаді: регіональний рівень</t>
  </si>
  <si>
    <t>Підготовка студентів-переможців та призерів до участі в олімпіаді: університетський рівень</t>
  </si>
  <si>
    <t>5.2.2.1</t>
  </si>
  <si>
    <t>5.2.2.2</t>
  </si>
  <si>
    <t>5.2.2.3</t>
  </si>
  <si>
    <t>5.2.2.4</t>
  </si>
  <si>
    <t>5.2.2.5</t>
  </si>
  <si>
    <t>5.3</t>
  </si>
  <si>
    <t>Керівництво студентським науковим гуртком, групою з науково-дослідної проблеми</t>
  </si>
  <si>
    <t>6.1.1.1</t>
  </si>
  <si>
    <t>6.1.1.2</t>
  </si>
  <si>
    <t>6.1.2.1</t>
  </si>
  <si>
    <t>6.1.2.2</t>
  </si>
  <si>
    <t>6.1.3.1</t>
  </si>
  <si>
    <t>6.1.3.2</t>
  </si>
  <si>
    <t>Організація та проведення наукових конференцій, симпозіумів, семінарів - Міжнародні заходи: голова оргкомітету</t>
  </si>
  <si>
    <t>Організація та проведення наукових конференцій, симпозіумів, семінарів - Міжнародні заходи : секретар, члени оргкомітету,  керівники секції</t>
  </si>
  <si>
    <t>Організація та проведення наукових конференцій, симпозіумів, семінарів - Всеукраїнські заходи: голова оргкомітету</t>
  </si>
  <si>
    <t>Організація та проведення наукових конференцій, симпозіумів, семінарів - Міжуніверситетські, міжфакультетські, міжкафедральні заходи : голова оргкомітету</t>
  </si>
  <si>
    <t>Організація та проведення наукових конференцій, симпозіумів, семінарів - Міжуніверситетські, міжфакультетські, міжкафедральні заходи  : секретар, члени оргкомітету,  керівники секції</t>
  </si>
  <si>
    <t>Організація та проведення наукових конференцій, симпозіумів, семінарів - Всеукраїнські заходи : секретар, члени оргкомітету,  керівники секції</t>
  </si>
  <si>
    <t>6.2.1</t>
  </si>
  <si>
    <t>6.2.2</t>
  </si>
  <si>
    <t>6.3</t>
  </si>
  <si>
    <t>6.4</t>
  </si>
  <si>
    <t>6.5.1</t>
  </si>
  <si>
    <t>6.5.2</t>
  </si>
  <si>
    <t>6.6.1</t>
  </si>
  <si>
    <t>6.6.2</t>
  </si>
  <si>
    <t>Організація та проведення телеконференцій, вебінарів : міжнародні заходи</t>
  </si>
  <si>
    <t>Організація та проведення телеконференцій, вебінарів : всеукраїнські заходи</t>
  </si>
  <si>
    <t>Керівництво науковою школою</t>
  </si>
  <si>
    <t>Відповідальний за наукову роботу на кафедрі</t>
  </si>
  <si>
    <t>6.6.3</t>
  </si>
  <si>
    <t>Рецензування авторефератів на здобуття ступеня доктора філософії, доктора наук, періодичних видань, монографій, підруч-ників, навчальних посібників, наукових статей, студентських наукових робіт</t>
  </si>
  <si>
    <r>
      <t xml:space="preserve">Рецензування видань іноземною мовою </t>
    </r>
    <r>
      <rPr>
        <i/>
        <sz val="10"/>
        <color rgb="FF000000"/>
        <rFont val="Times New Roman"/>
        <family val="1"/>
        <charset val="204"/>
      </rPr>
      <t>(окрім російської)</t>
    </r>
  </si>
  <si>
    <t>Робота в редколегіях наукових журналів, в редакційних радах збірників праць та ін. : голова редколегії</t>
  </si>
  <si>
    <t>Робота в редколегіях наукових журналів, в редакційних радах збірників праць та ін. : заступник голови редколегії</t>
  </si>
  <si>
    <t>Робота в редколегіях наукових журналів, в редакційних радах збірників праць та ін. : члени редколегії</t>
  </si>
  <si>
    <t>1.1.3</t>
  </si>
  <si>
    <t>1.3.3</t>
  </si>
  <si>
    <t>1.3.1</t>
  </si>
  <si>
    <t>1.5.3</t>
  </si>
  <si>
    <t>1.4.2</t>
  </si>
  <si>
    <t>1.4.3</t>
  </si>
  <si>
    <t>1.4.4</t>
  </si>
  <si>
    <t>1.4.5</t>
  </si>
  <si>
    <t>1.4.6</t>
  </si>
  <si>
    <t>1.4.7</t>
  </si>
  <si>
    <t>2.3.1</t>
  </si>
  <si>
    <t>2.3.2</t>
  </si>
  <si>
    <t>2.3.3</t>
  </si>
  <si>
    <t>2.3.4</t>
  </si>
  <si>
    <t>3.1.1</t>
  </si>
  <si>
    <t>3.1.2</t>
  </si>
  <si>
    <t>3.3</t>
  </si>
  <si>
    <t>3.6</t>
  </si>
  <si>
    <t>3.7</t>
  </si>
  <si>
    <t>2.2.5</t>
  </si>
  <si>
    <t>2.2.6</t>
  </si>
  <si>
    <t>2.2.7</t>
  </si>
  <si>
    <t>2.2.1</t>
  </si>
  <si>
    <t>2.2.2</t>
  </si>
  <si>
    <t>2.2.3</t>
  </si>
  <si>
    <t>2.1.10</t>
  </si>
  <si>
    <t>2.1.5</t>
  </si>
  <si>
    <t>2.1.6</t>
  </si>
  <si>
    <t>2.1.7</t>
  </si>
  <si>
    <t>2.1.8</t>
  </si>
  <si>
    <t>2.1.9</t>
  </si>
  <si>
    <t>2.1.11</t>
  </si>
  <si>
    <t>2.1.12</t>
  </si>
  <si>
    <t>2.1.13</t>
  </si>
  <si>
    <t>2.1.14</t>
  </si>
  <si>
    <t>2.1.15</t>
  </si>
  <si>
    <t>2.1.16</t>
  </si>
  <si>
    <t>2.1.17</t>
  </si>
  <si>
    <t>1.5.5</t>
  </si>
  <si>
    <t>1.2.4</t>
  </si>
  <si>
    <t xml:space="preserve">Робота в експертних радах міністерств та відомств </t>
  </si>
  <si>
    <r>
      <t xml:space="preserve">Робота в колегіях МОН України </t>
    </r>
    <r>
      <rPr>
        <i/>
        <sz val="9"/>
        <color rgb="FF000000"/>
        <rFont val="Times New Roman"/>
        <family val="1"/>
        <charset val="204"/>
      </rPr>
      <t>(загальна участь, участь у проведенні атестацій)</t>
    </r>
  </si>
  <si>
    <t xml:space="preserve">Робота в науково-методичних комісіях </t>
  </si>
  <si>
    <t xml:space="preserve">Робота в робочих групах міністерств </t>
  </si>
  <si>
    <t>Робота в колегіях облдержадміністрації</t>
  </si>
  <si>
    <t xml:space="preserve">Робота в комітетах різних рівнів </t>
  </si>
  <si>
    <t>1.1.4</t>
  </si>
  <si>
    <t>1.1.5</t>
  </si>
  <si>
    <t>1.1.6</t>
  </si>
  <si>
    <t>1.1.7</t>
  </si>
  <si>
    <t>Робота в Акредитаційній комісії  України, експертних і фахових радах</t>
  </si>
  <si>
    <t>1.3</t>
  </si>
  <si>
    <t>1.4.1</t>
  </si>
  <si>
    <t>Робота в спеціалізованих радах із захисту дисертацій: голова спеціалізованої ради</t>
  </si>
  <si>
    <t>Робота в спеціалізованих радах із захисту дисертацій: заступник голови спеціалізованої ради</t>
  </si>
  <si>
    <t>Робота в спеціалізованих радах із захисту дисертацій: вчений секретар та члени спеціалізованої ради</t>
  </si>
  <si>
    <t>Робота в спеціалізованих радах із захисту дисертацій: експерт в спеціалізованій раді, науковому семінарі зі спеціальності та на кафедрі щодо дисертації доктора наук</t>
  </si>
  <si>
    <t>Робота в спеціалізованих радах із захисту дисертацій: експерт в спеціалізованій раді, науковому семінарі зі спеціальності та на кафедрі щодо дисертації доктора філософії:</t>
  </si>
  <si>
    <t>1.5.1</t>
  </si>
  <si>
    <t>Робота у вченій раді університету</t>
  </si>
  <si>
    <t>Робота у КТК університету</t>
  </si>
  <si>
    <t>Робота в науково-методичних радах і комісіях факультету</t>
  </si>
  <si>
    <t>Робота у вченій раді факультету</t>
  </si>
  <si>
    <r>
      <t xml:space="preserve">Участь у засіданнях кафедри </t>
    </r>
    <r>
      <rPr>
        <i/>
        <sz val="10"/>
        <color rgb="FF000000"/>
        <rFont val="Times New Roman"/>
        <family val="1"/>
        <charset val="204"/>
      </rPr>
      <t>(організація, підготовка, доповідь)</t>
    </r>
  </si>
  <si>
    <t>1.5.2</t>
  </si>
  <si>
    <t>1.5.4</t>
  </si>
  <si>
    <t>1.6</t>
  </si>
  <si>
    <t>Участь в організації та проведенні позанавчаль-них культурно-спортив-них заходів для студентів</t>
  </si>
  <si>
    <t>Участь в організації та проведенні спортивно-виховної роботи студентів в гуртожитках</t>
  </si>
  <si>
    <t>Участь в організації та проведенні заходів щодо розвитку навичок самов-рядування та громадської діяльності студентів, а саме: конференцій, форумів, тренінгів тощо</t>
  </si>
  <si>
    <t>Участь в організації та проведенні конкурсів професійної майстерності за пріоритетними напрямами розвитку Університету</t>
  </si>
  <si>
    <t>Участь в організації та проведенні спортивно-оздоровчих заходів для НПП і співробітників університету</t>
  </si>
  <si>
    <t>Участь в організації та проведенні культурно-масових заходів для НПП і співробітників університету</t>
  </si>
  <si>
    <t>Виконання обов’язків прес-служби на факультеті</t>
  </si>
  <si>
    <t>2.3</t>
  </si>
  <si>
    <t>2.4</t>
  </si>
  <si>
    <t>Виконання обов'язків куратора академічної групи: куратор академічної групи  1 курсу</t>
  </si>
  <si>
    <t>Виконання обов'язків куратора академічної групи: куратор академічної групи  2 курсу</t>
  </si>
  <si>
    <t>Виконання обов’язків заступника декана</t>
  </si>
  <si>
    <r>
      <t xml:space="preserve">Керівництво кафедрою, організація роботи кафедри </t>
    </r>
    <r>
      <rPr>
        <i/>
        <sz val="10"/>
        <color rgb="FF000000"/>
        <rFont val="Times New Roman"/>
        <family val="1"/>
        <charset val="204"/>
      </rPr>
      <t>(завідувач кафедри)</t>
    </r>
  </si>
  <si>
    <t>Виконання обов’язків відповідального на кафедрі за ПНС</t>
  </si>
  <si>
    <t>3.1.3</t>
  </si>
  <si>
    <t>Керівник магістерської програми</t>
  </si>
  <si>
    <t>Куратор (консультант) варіативної складової освітньо-професійних програм</t>
  </si>
  <si>
    <t xml:space="preserve">Участь у робочій групі з актуальних питань організації навчального процесу </t>
  </si>
  <si>
    <t xml:space="preserve">Виконання обов’язків відповідального за організацію та керівника програми літньої (зимової) школи </t>
  </si>
  <si>
    <t xml:space="preserve">Участь у проведенні літньої (зимової) школи (занять та заходів) </t>
  </si>
  <si>
    <t>Організація співробіт-ництва з технікумами та коледжами</t>
  </si>
  <si>
    <t>Організація співробіт-ництва з загальноосвіт-німи навчальними закладами</t>
  </si>
  <si>
    <t>Організація співробіт-ництва з установами для співпраці з підготовки фахівців</t>
  </si>
  <si>
    <t>Організація і проведення консультацій та підготов-ка школярів до учнівських предметних олімпіад, конкурсів Малої академії наук, турнірів юних інформатиків, тощо</t>
  </si>
  <si>
    <t>Проведення профорієн-таційної роботи в соціальних мережах</t>
  </si>
  <si>
    <t>4.1.3</t>
  </si>
  <si>
    <t>4.1.4</t>
  </si>
  <si>
    <t>4.1.5</t>
  </si>
  <si>
    <t>4.1.6</t>
  </si>
  <si>
    <t>4.1.7</t>
  </si>
  <si>
    <t>5.1</t>
  </si>
  <si>
    <t>5.2</t>
  </si>
  <si>
    <t xml:space="preserve">Організація програми перебування студентів іноземних країн, аспіран-тів, викладачів в рамках програм мобільності </t>
  </si>
  <si>
    <t xml:space="preserve">Координація міжнародних магістерських програм </t>
  </si>
  <si>
    <t xml:space="preserve">Участь у міжнародних літніх школах, семінарах під патронатом МОН України, ЄС чи університетів-партнерів ХНЕУ ім. С. Кузнеця </t>
  </si>
  <si>
    <t>Відповідальний за підтримку роботи сайту кафедри, факультету, університету (розробка контенту, розміщення інформації)</t>
  </si>
  <si>
    <t>ввувввууввввввввчысв</t>
  </si>
  <si>
    <t>Робота в експертній раді МОН України:  (акредитація та ліцензування, наукові ступені)</t>
  </si>
  <si>
    <r>
      <t>Створення навчальних елементів середньої інтерактивності електронного видання які створюють умовні переходи за результатами розумової діяльності студента</t>
    </r>
    <r>
      <rPr>
        <i/>
        <sz val="10"/>
        <color rgb="FF000000"/>
        <rFont val="Times New Roman"/>
        <family val="1"/>
        <charset val="204"/>
      </rPr>
      <t xml:space="preserve"> </t>
    </r>
  </si>
  <si>
    <t>4.1.8</t>
  </si>
  <si>
    <t>Проведення тестування та спывбесыди з метою виявлення рывня пыдготовки вступників</t>
  </si>
  <si>
    <t>ПЕРЕЛІК МЕТОДИЧНИХ РОБІТ</t>
  </si>
  <si>
    <t>ПП</t>
  </si>
  <si>
    <t>номер</t>
  </si>
  <si>
    <t>ПЕРЕЛІК НАУКОВИХ РОБІТ</t>
  </si>
  <si>
    <t>ПЕРЕЛІК ОРГАНІЗАЦІЙНИХ РОБІТ</t>
  </si>
  <si>
    <r>
      <rPr>
        <b/>
        <sz val="11"/>
        <rFont val="Times New Roman"/>
        <family val="1"/>
        <charset val="204"/>
      </rPr>
      <t xml:space="preserve">Плановий обсяг,   </t>
    </r>
    <r>
      <rPr>
        <sz val="11"/>
        <rFont val="Times New Roman"/>
        <family val="1"/>
        <charset val="204"/>
      </rPr>
      <t xml:space="preserve">                             </t>
    </r>
    <r>
      <rPr>
        <i/>
        <sz val="11"/>
        <rFont val="Times New Roman"/>
        <family val="1"/>
        <charset val="204"/>
      </rPr>
      <t>год</t>
    </r>
  </si>
  <si>
    <r>
      <rPr>
        <b/>
        <sz val="11"/>
        <rFont val="Times New Roman"/>
        <family val="1"/>
        <charset val="204"/>
      </rPr>
      <t>Фактичний обсяг,</t>
    </r>
    <r>
      <rPr>
        <sz val="11"/>
        <rFont val="Times New Roman"/>
        <family val="1"/>
        <charset val="204"/>
      </rPr>
      <t xml:space="preserve">                    </t>
    </r>
    <r>
      <rPr>
        <i/>
        <sz val="11"/>
        <rFont val="Times New Roman"/>
        <family val="1"/>
        <charset val="204"/>
      </rPr>
      <t>год</t>
    </r>
  </si>
  <si>
    <t>ВВЕДІТЬ НОМЕР
ВІД 1-90</t>
  </si>
  <si>
    <t>ВВЕДІТЬ НОМЕР ВІД 91-141</t>
  </si>
  <si>
    <t>ВВЕДІТЬ НОМЕР ВІД 142-187</t>
  </si>
  <si>
    <r>
      <t>Підсумковий результат</t>
    </r>
    <r>
      <rPr>
        <sz val="8"/>
        <rFont val="Times New Roman"/>
        <family val="1"/>
        <charset val="204"/>
      </rPr>
      <t/>
    </r>
  </si>
  <si>
    <t xml:space="preserve">Підсумковий результат </t>
  </si>
  <si>
    <t xml:space="preserve">працює з </t>
  </si>
  <si>
    <t xml:space="preserve">по </t>
  </si>
  <si>
    <t>Проведення практичних (семінарських) занять</t>
  </si>
  <si>
    <t>Перевірка контрольних робіт</t>
  </si>
  <si>
    <t xml:space="preserve"> </t>
  </si>
  <si>
    <t>Участь в ДЕК</t>
  </si>
  <si>
    <t>Економіки і права</t>
  </si>
  <si>
    <t>ФАКУЛЬТЕТИ</t>
  </si>
  <si>
    <t>код</t>
  </si>
  <si>
    <t>Декани</t>
  </si>
  <si>
    <t>КАФЕДРИ</t>
  </si>
  <si>
    <t>Завідувачі кафедр</t>
  </si>
  <si>
    <t>ПОСАДИ</t>
  </si>
  <si>
    <t>ВЧЕНЕ ЗВАННЯ</t>
  </si>
  <si>
    <t>Консалтингу і міжнародного бізнесу</t>
  </si>
  <si>
    <t>Азаренков Г.Ф.</t>
  </si>
  <si>
    <t>Бухгалтерського обліку</t>
  </si>
  <si>
    <t>Пилипенко А.А.</t>
  </si>
  <si>
    <t>Завідувач кафедри</t>
  </si>
  <si>
    <t>Професор</t>
  </si>
  <si>
    <t>Зовнішній сумісник</t>
  </si>
  <si>
    <t>Друкована праця</t>
  </si>
  <si>
    <t>I семестр</t>
  </si>
  <si>
    <t>Фінансовий</t>
  </si>
  <si>
    <t>Проноза П.В.</t>
  </si>
  <si>
    <t>Міжнародного бізнесу та економічного  аналізу</t>
  </si>
  <si>
    <t>Отенко І.П.</t>
  </si>
  <si>
    <t>Доцент</t>
  </si>
  <si>
    <t>Внутрішній сумісник</t>
  </si>
  <si>
    <t>Рукопис</t>
  </si>
  <si>
    <t>II семестр</t>
  </si>
  <si>
    <t>Менеджменту і маркетингу</t>
  </si>
  <si>
    <t>Тимонін О.М.</t>
  </si>
  <si>
    <t>Контролю і аудиту</t>
  </si>
  <si>
    <t>Дікань Л.В.</t>
  </si>
  <si>
    <t>Старший науковий співробітник</t>
  </si>
  <si>
    <t>Протягом року</t>
  </si>
  <si>
    <t>Економічної інформатики</t>
  </si>
  <si>
    <t>Коц Г.П.</t>
  </si>
  <si>
    <t>Економіки та оцінки майна підприємств</t>
  </si>
  <si>
    <t>Васільєв О.В.</t>
  </si>
  <si>
    <t>Старший викладач</t>
  </si>
  <si>
    <t>Старший дослідник</t>
  </si>
  <si>
    <t>Сєрікова Т.М.</t>
  </si>
  <si>
    <t>Вищої математики та економіко-математичних методів</t>
  </si>
  <si>
    <t>Малярець Л.М.</t>
  </si>
  <si>
    <t>Викладач</t>
  </si>
  <si>
    <t>Міжнародних економічних відносин</t>
  </si>
  <si>
    <t>Піддубний І.О.</t>
  </si>
  <si>
    <t>Філософії та політології</t>
  </si>
  <si>
    <t>Кузь О.М.</t>
  </si>
  <si>
    <t>Підготовки іноземних громадян</t>
  </si>
  <si>
    <t>Северинов О.В.</t>
  </si>
  <si>
    <t>Фінансів</t>
  </si>
  <si>
    <t>Журавльова І.В.</t>
  </si>
  <si>
    <t>Управління фінансовими послугами</t>
  </si>
  <si>
    <t>Внукова Н.М.</t>
  </si>
  <si>
    <t>Банківської справи</t>
  </si>
  <si>
    <t>Колодізєв О.М.</t>
  </si>
  <si>
    <t xml:space="preserve">Оподаткування </t>
  </si>
  <si>
    <t>Найденко Є.О.</t>
  </si>
  <si>
    <t>Менеджменту</t>
  </si>
  <si>
    <t>Каюда В.О.</t>
  </si>
  <si>
    <t>Економіки, управління підприємствами та логістики</t>
  </si>
  <si>
    <t>Ястремська О.М.</t>
  </si>
  <si>
    <t>Менеджменту та бізнесу</t>
  </si>
  <si>
    <t>Лепейко Т.І.</t>
  </si>
  <si>
    <t>Економіки та маркетингу</t>
  </si>
  <si>
    <t>Орлов П.А.</t>
  </si>
  <si>
    <t xml:space="preserve">Підприємницької діяльності </t>
  </si>
  <si>
    <t>Гонтарєва І.В.</t>
  </si>
  <si>
    <t>Інформаційних систем</t>
  </si>
  <si>
    <t>Руденко О.Г.</t>
  </si>
  <si>
    <t xml:space="preserve">Комп’ютерних систем та технологій </t>
  </si>
  <si>
    <t>Пушкар О.І.</t>
  </si>
  <si>
    <t xml:space="preserve">Економічної кібернетики </t>
  </si>
  <si>
    <t>Клебанова Т.С.</t>
  </si>
  <si>
    <t>Статистики та економічного прогнозування</t>
  </si>
  <si>
    <t>Раєвнєва О.В.</t>
  </si>
  <si>
    <t xml:space="preserve">Інформатики та комп’ютерної техніки </t>
  </si>
  <si>
    <t>Удовенко С.Г.</t>
  </si>
  <si>
    <t>Технології, екології та безпеки життєдіяльності</t>
  </si>
  <si>
    <t>Логвінков С.М.</t>
  </si>
  <si>
    <t>Управління персоналом</t>
  </si>
  <si>
    <t>Назарова Г.В.</t>
  </si>
  <si>
    <t>Економіки підприємства і менеджменту</t>
  </si>
  <si>
    <t>Шиян Д.В.</t>
  </si>
  <si>
    <t>Соціології та психології управління</t>
  </si>
  <si>
    <t>Сасіна Л.О.</t>
  </si>
  <si>
    <t>Правового регулювання економіки</t>
  </si>
  <si>
    <t>Сергієнко В.В.</t>
  </si>
  <si>
    <t>Державного управління, публічного адміністрування та регіональної економіки</t>
  </si>
  <si>
    <t>Гавкалова Н.Л.</t>
  </si>
  <si>
    <t>Педагогіки та іноземної філології</t>
  </si>
  <si>
    <t>Борова Т.А.</t>
  </si>
  <si>
    <t>Управління соціальними комунікаціями</t>
  </si>
  <si>
    <t>Яресько К.В.</t>
  </si>
  <si>
    <t>Міжнародної економіки та менеджменту зовнішньоекономічної діяльності</t>
  </si>
  <si>
    <t>Стахорська С.І.</t>
  </si>
  <si>
    <t>Іноземних мов та перекладу</t>
  </si>
  <si>
    <t>Колбіна Т.В.</t>
  </si>
  <si>
    <t>Туризму</t>
  </si>
  <si>
    <t>Сущенко О.А.</t>
  </si>
  <si>
    <t>Політичної економії</t>
  </si>
  <si>
    <t>Попов О.Є.</t>
  </si>
  <si>
    <t>Українознавства і мовної підготовки іноземних громадян</t>
  </si>
  <si>
    <t>Черемська О.С.</t>
  </si>
  <si>
    <t xml:space="preserve">Фізичного виховання та спорту </t>
  </si>
  <si>
    <t>Маракушин А.І.</t>
  </si>
  <si>
    <t>Природничих наук та технології</t>
  </si>
  <si>
    <t>Новіков Ф.В.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</si>
</sst>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9"/>
      <name val="Times New Roman"/>
      <family val="1"/>
      <charset val="204"/>
    </font>
    <font>
      <b/>
      <sz val="9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Arial Cyr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9"/>
      <name val="Arial Cyr"/>
      <charset val="204"/>
    </font>
    <font>
      <b/>
      <sz val="12"/>
      <name val="Arial Cyr"/>
      <family val="2"/>
      <charset val="204"/>
    </font>
    <font>
      <sz val="10"/>
      <name val="Arial Cyr"/>
      <family val="2"/>
      <charset val="204"/>
    </font>
    <font>
      <sz val="8"/>
      <name val="Times New Roman"/>
      <family val="1"/>
      <charset val="204"/>
    </font>
    <font>
      <sz val="10"/>
      <name val="Times New Roman"/>
      <family val="1"/>
    </font>
    <font>
      <b/>
      <sz val="14"/>
      <name val="Times New Roman"/>
      <family val="1"/>
    </font>
    <font>
      <b/>
      <sz val="24"/>
      <name val="Times New Roman"/>
      <family val="1"/>
    </font>
    <font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Arial Cyr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b/>
      <i/>
      <sz val="9"/>
      <name val="Times New Roman"/>
      <family val="1"/>
      <charset val="204"/>
    </font>
    <font>
      <b/>
      <sz val="14"/>
      <name val="Arial Cyr"/>
      <family val="2"/>
      <charset val="204"/>
    </font>
    <font>
      <i/>
      <sz val="10"/>
      <name val="Times New Roman"/>
      <family val="1"/>
      <charset val="204"/>
    </font>
    <font>
      <i/>
      <sz val="9"/>
      <name val="Times New Roman"/>
      <family val="1"/>
      <charset val="204"/>
    </font>
    <font>
      <i/>
      <sz val="7"/>
      <name val="Times New Roman"/>
      <family val="1"/>
      <charset val="204"/>
    </font>
    <font>
      <b/>
      <sz val="11"/>
      <name val="Calibri"/>
      <family val="2"/>
      <charset val="204"/>
    </font>
    <font>
      <sz val="14"/>
      <name val="Times New Roman"/>
      <family val="1"/>
      <charset val="204"/>
    </font>
    <font>
      <i/>
      <sz val="14"/>
      <name val="Times New Roman"/>
      <family val="1"/>
      <charset val="204"/>
    </font>
    <font>
      <i/>
      <sz val="10.5"/>
      <name val="Times New Roman"/>
      <family val="1"/>
      <charset val="204"/>
    </font>
    <font>
      <sz val="16"/>
      <name val="Times New Roman"/>
      <family val="1"/>
      <charset val="204"/>
    </font>
    <font>
      <b/>
      <sz val="10"/>
      <color rgb="FFC00000"/>
      <name val="Times New Roman"/>
      <family val="1"/>
      <charset val="204"/>
    </font>
    <font>
      <sz val="11"/>
      <name val="Arial"/>
      <family val="2"/>
      <charset val="204"/>
    </font>
    <font>
      <sz val="10"/>
      <name val="Arial"/>
      <family val="2"/>
      <charset val="204"/>
    </font>
    <font>
      <i/>
      <sz val="16"/>
      <name val="Times New Roman"/>
      <family val="1"/>
      <charset val="204"/>
    </font>
    <font>
      <b/>
      <i/>
      <sz val="20"/>
      <name val="Times New Roman"/>
      <family val="1"/>
      <charset val="204"/>
    </font>
    <font>
      <b/>
      <i/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i/>
      <sz val="12"/>
      <name val="Arial Cyr"/>
      <charset val="204"/>
    </font>
    <font>
      <i/>
      <sz val="14"/>
      <color rgb="FFFFC000"/>
      <name val="Arial Cyr"/>
      <charset val="204"/>
    </font>
    <font>
      <b/>
      <sz val="10"/>
      <color rgb="FFFFC000"/>
      <name val="Times New Roman"/>
      <family val="1"/>
      <charset val="204"/>
    </font>
    <font>
      <sz val="10"/>
      <color rgb="FFFFC000"/>
      <name val="Times New Roman"/>
      <family val="1"/>
      <charset val="204"/>
    </font>
    <font>
      <b/>
      <sz val="28"/>
      <color rgb="FFFFC000"/>
      <name val="Wingdings"/>
      <charset val="2"/>
    </font>
    <font>
      <sz val="24"/>
      <color rgb="FFFFC000"/>
      <name val="Times New Roman"/>
      <family val="1"/>
    </font>
    <font>
      <sz val="16"/>
      <color rgb="FFFFC000"/>
      <name val="Times New Roman"/>
      <family val="1"/>
    </font>
    <font>
      <b/>
      <sz val="16"/>
      <color rgb="FFFFC000"/>
      <name val="Arial Narrow"/>
      <family val="2"/>
      <charset val="204"/>
    </font>
    <font>
      <b/>
      <sz val="12"/>
      <name val="Arial Cyr"/>
      <charset val="204"/>
    </font>
    <font>
      <sz val="10"/>
      <name val="Arial Cyr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u/>
      <sz val="10"/>
      <name val="Times New Roman"/>
      <family val="1"/>
      <charset val="204"/>
    </font>
    <font>
      <i/>
      <sz val="10"/>
      <color rgb="FF000000"/>
      <name val="Times New Roman"/>
      <family val="1"/>
      <charset val="204"/>
    </font>
    <font>
      <i/>
      <sz val="9.5"/>
      <color rgb="FF000000"/>
      <name val="Times New Roman"/>
      <family val="1"/>
      <charset val="204"/>
    </font>
    <font>
      <i/>
      <sz val="9"/>
      <color rgb="FF000000"/>
      <name val="Times New Roman"/>
      <family val="1"/>
      <charset val="204"/>
    </font>
    <font>
      <b/>
      <sz val="16"/>
      <color rgb="FFFFFF00"/>
      <name val="Times New Roman"/>
      <family val="1"/>
      <charset val="204"/>
    </font>
    <font>
      <i/>
      <sz val="1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8"/>
      <color rgb="FFFFC000"/>
      <name val="Arial Narrow"/>
      <family val="2"/>
      <charset val="204"/>
    </font>
    <font>
      <sz val="28"/>
      <color rgb="FFFFC000"/>
      <name val="Times New Roman"/>
      <family val="1"/>
      <charset val="204"/>
    </font>
    <font>
      <sz val="24"/>
      <color rgb="FFFFC000"/>
      <name val="Times New Roman"/>
      <family val="1"/>
      <charset val="204"/>
    </font>
    <font>
      <b/>
      <sz val="20"/>
      <name val="Times New Roman"/>
      <family val="1"/>
      <charset val="204"/>
    </font>
    <font>
      <b/>
      <sz val="16"/>
      <color rgb="FF000000"/>
      <name val="Times New Roman"/>
      <family val="1"/>
      <charset val="204"/>
    </font>
    <font>
      <b/>
      <sz val="14"/>
      <name val="Arial Cyr"/>
      <charset val="204"/>
    </font>
    <font>
      <b/>
      <sz val="36"/>
      <color rgb="FFFFC000"/>
      <name val="Wingdings"/>
      <charset val="2"/>
    </font>
    <font>
      <b/>
      <sz val="14"/>
      <name val="Arial Narrow"/>
      <family val="2"/>
      <charset val="204"/>
    </font>
    <font>
      <sz val="14"/>
      <name val="Arial Narrow"/>
      <family val="2"/>
      <charset val="204"/>
    </font>
    <font>
      <sz val="12"/>
      <name val="Arial Narrow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41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1" fillId="0" borderId="0"/>
    <xf numFmtId="0" fontId="34" fillId="0" borderId="0"/>
    <xf numFmtId="0" fontId="11" fillId="0" borderId="0"/>
    <xf numFmtId="0" fontId="34" fillId="0" borderId="0"/>
  </cellStyleXfs>
  <cellXfs count="430">
    <xf numFmtId="0" fontId="0" fillId="0" borderId="0" xfId="0"/>
    <xf numFmtId="0" fontId="1" fillId="0" borderId="0" xfId="0" applyFont="1"/>
    <xf numFmtId="0" fontId="4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/>
    <xf numFmtId="0" fontId="2" fillId="0" borderId="0" xfId="0" applyFont="1" applyAlignment="1">
      <alignment horizontal="center" vertical="top"/>
    </xf>
    <xf numFmtId="0" fontId="8" fillId="0" borderId="3" xfId="0" applyFont="1" applyBorder="1" applyAlignment="1">
      <alignment horizontal="center" vertical="center" wrapText="1"/>
    </xf>
    <xf numFmtId="0" fontId="10" fillId="0" borderId="0" xfId="0" applyFont="1"/>
    <xf numFmtId="0" fontId="0" fillId="0" borderId="0" xfId="0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14" fillId="0" borderId="0" xfId="0" applyFont="1"/>
    <xf numFmtId="0" fontId="16" fillId="0" borderId="0" xfId="0" applyFont="1"/>
    <xf numFmtId="0" fontId="18" fillId="0" borderId="0" xfId="0" applyFont="1"/>
    <xf numFmtId="0" fontId="0" fillId="0" borderId="4" xfId="0" applyBorder="1" applyAlignment="1">
      <alignment horizontal="center" vertical="center" wrapText="1"/>
    </xf>
    <xf numFmtId="0" fontId="8" fillId="0" borderId="0" xfId="0" applyFont="1" applyBorder="1"/>
    <xf numFmtId="0" fontId="22" fillId="0" borderId="0" xfId="0" applyFont="1" applyAlignment="1">
      <alignment horizontal="center" vertical="top"/>
    </xf>
    <xf numFmtId="0" fontId="23" fillId="0" borderId="0" xfId="0" applyFont="1"/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20" fillId="0" borderId="13" xfId="0" applyFont="1" applyBorder="1" applyAlignment="1">
      <alignment horizontal="left"/>
    </xf>
    <xf numFmtId="0" fontId="5" fillId="0" borderId="9" xfId="0" applyFont="1" applyBorder="1" applyAlignment="1">
      <alignment horizontal="center" vertical="center" textRotation="90"/>
    </xf>
    <xf numFmtId="0" fontId="5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textRotation="90"/>
    </xf>
    <xf numFmtId="0" fontId="8" fillId="0" borderId="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/>
    </xf>
    <xf numFmtId="0" fontId="29" fillId="2" borderId="3" xfId="0" applyFont="1" applyFill="1" applyBorder="1" applyAlignment="1">
      <alignment horizontal="center" vertical="center"/>
    </xf>
    <xf numFmtId="0" fontId="29" fillId="2" borderId="16" xfId="0" applyFont="1" applyFill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8" fillId="2" borderId="45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4" xfId="0" applyFont="1" applyBorder="1" applyProtection="1">
      <protection locked="0"/>
    </xf>
    <xf numFmtId="0" fontId="4" fillId="0" borderId="33" xfId="0" applyFont="1" applyBorder="1" applyAlignment="1" applyProtection="1">
      <alignment horizontal="center" vertical="center"/>
      <protection locked="0"/>
    </xf>
    <xf numFmtId="0" fontId="4" fillId="0" borderId="40" xfId="0" applyFont="1" applyBorder="1" applyProtection="1">
      <protection locked="0"/>
    </xf>
    <xf numFmtId="0" fontId="4" fillId="0" borderId="48" xfId="0" applyFont="1" applyBorder="1" applyAlignment="1" applyProtection="1">
      <alignment horizontal="center" vertical="center"/>
      <protection locked="0"/>
    </xf>
    <xf numFmtId="0" fontId="4" fillId="0" borderId="5" xfId="0" applyFont="1" applyBorder="1" applyProtection="1">
      <protection locked="0"/>
    </xf>
    <xf numFmtId="0" fontId="4" fillId="0" borderId="49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protection locked="0"/>
    </xf>
    <xf numFmtId="0" fontId="0" fillId="0" borderId="15" xfId="0" applyBorder="1" applyAlignment="1" applyProtection="1">
      <protection locked="0"/>
    </xf>
    <xf numFmtId="0" fontId="4" fillId="0" borderId="15" xfId="0" applyFont="1" applyBorder="1" applyAlignment="1" applyProtection="1">
      <protection locked="0"/>
    </xf>
    <xf numFmtId="0" fontId="4" fillId="0" borderId="39" xfId="0" applyFont="1" applyBorder="1" applyAlignment="1" applyProtection="1">
      <protection locked="0"/>
    </xf>
    <xf numFmtId="0" fontId="4" fillId="0" borderId="40" xfId="0" applyFont="1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4" fillId="0" borderId="3" xfId="0" applyFont="1" applyBorder="1" applyAlignment="1" applyProtection="1">
      <protection locked="0"/>
    </xf>
    <xf numFmtId="0" fontId="4" fillId="0" borderId="41" xfId="0" applyFont="1" applyBorder="1" applyAlignment="1" applyProtection="1">
      <protection locked="0"/>
    </xf>
    <xf numFmtId="0" fontId="4" fillId="0" borderId="5" xfId="0" applyFont="1" applyBorder="1" applyAlignment="1" applyProtection="1">
      <protection locked="0"/>
    </xf>
    <xf numFmtId="0" fontId="0" fillId="0" borderId="50" xfId="0" applyBorder="1" applyAlignment="1" applyProtection="1">
      <protection locked="0"/>
    </xf>
    <xf numFmtId="0" fontId="4" fillId="0" borderId="50" xfId="0" applyFont="1" applyBorder="1" applyAlignment="1" applyProtection="1">
      <protection locked="0"/>
    </xf>
    <xf numFmtId="0" fontId="4" fillId="0" borderId="6" xfId="0" applyFont="1" applyBorder="1" applyAlignment="1" applyProtection="1">
      <protection locked="0"/>
    </xf>
    <xf numFmtId="0" fontId="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/>
    <xf numFmtId="0" fontId="32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4" fillId="0" borderId="33" xfId="0" applyFont="1" applyBorder="1" applyAlignment="1" applyProtection="1">
      <alignment horizontal="left" vertical="center"/>
      <protection locked="0"/>
    </xf>
    <xf numFmtId="0" fontId="4" fillId="0" borderId="48" xfId="0" applyFont="1" applyBorder="1" applyAlignment="1" applyProtection="1">
      <alignment horizontal="left" vertical="center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0" fontId="0" fillId="0" borderId="41" xfId="0" applyBorder="1" applyAlignment="1" applyProtection="1">
      <alignment horizontal="center" vertical="center" wrapText="1"/>
      <protection locked="0"/>
    </xf>
    <xf numFmtId="0" fontId="0" fillId="0" borderId="42" xfId="0" applyBorder="1" applyAlignment="1" applyProtection="1">
      <alignment horizontal="center" vertical="center" wrapText="1"/>
      <protection locked="0"/>
    </xf>
    <xf numFmtId="0" fontId="0" fillId="0" borderId="43" xfId="0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1" fillId="0" borderId="0" xfId="0" applyFont="1" applyBorder="1" applyAlignment="1" applyProtection="1">
      <alignment vertical="center"/>
      <protection locked="0"/>
    </xf>
    <xf numFmtId="0" fontId="1" fillId="0" borderId="0" xfId="0" applyFont="1" applyBorder="1"/>
    <xf numFmtId="0" fontId="24" fillId="0" borderId="0" xfId="0" applyFont="1" applyBorder="1"/>
    <xf numFmtId="0" fontId="35" fillId="0" borderId="0" xfId="0" applyFont="1" applyBorder="1" applyAlignment="1" applyProtection="1">
      <alignment wrapText="1"/>
      <protection locked="0"/>
    </xf>
    <xf numFmtId="0" fontId="37" fillId="0" borderId="3" xfId="0" applyFont="1" applyBorder="1" applyAlignment="1" applyProtection="1">
      <alignment horizontal="center" vertical="center"/>
      <protection locked="0"/>
    </xf>
    <xf numFmtId="0" fontId="38" fillId="0" borderId="0" xfId="0" applyFont="1" applyBorder="1"/>
    <xf numFmtId="0" fontId="39" fillId="0" borderId="0" xfId="0" applyFont="1"/>
    <xf numFmtId="0" fontId="30" fillId="0" borderId="0" xfId="0" applyFont="1" applyProtection="1">
      <protection locked="0"/>
    </xf>
    <xf numFmtId="0" fontId="4" fillId="0" borderId="34" xfId="0" applyFont="1" applyBorder="1" applyAlignment="1" applyProtection="1">
      <alignment horizontal="center" vertical="center"/>
      <protection locked="0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horizontal="left" vertical="center" indent="1"/>
    </xf>
    <xf numFmtId="0" fontId="41" fillId="0" borderId="0" xfId="0" applyFont="1" applyAlignment="1">
      <alignment horizontal="left"/>
    </xf>
    <xf numFmtId="0" fontId="42" fillId="0" borderId="0" xfId="0" applyFont="1" applyAlignment="1"/>
    <xf numFmtId="0" fontId="42" fillId="0" borderId="0" xfId="0" applyFont="1"/>
    <xf numFmtId="0" fontId="44" fillId="0" borderId="0" xfId="0" applyFont="1"/>
    <xf numFmtId="0" fontId="45" fillId="0" borderId="0" xfId="0" applyFont="1"/>
    <xf numFmtId="0" fontId="37" fillId="0" borderId="3" xfId="0" applyFont="1" applyBorder="1" applyAlignment="1" applyProtection="1">
      <alignment horizontal="center" vertical="center" wrapText="1"/>
      <protection locked="0"/>
    </xf>
    <xf numFmtId="0" fontId="19" fillId="2" borderId="7" xfId="0" applyFont="1" applyFill="1" applyBorder="1" applyAlignment="1">
      <alignment horizontal="center" vertical="center" wrapText="1"/>
    </xf>
    <xf numFmtId="0" fontId="19" fillId="2" borderId="8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8" xfId="0" applyFont="1" applyFill="1" applyBorder="1" applyAlignment="1">
      <alignment horizontal="center" vertical="center" wrapText="1"/>
    </xf>
    <xf numFmtId="0" fontId="33" fillId="3" borderId="11" xfId="0" applyFont="1" applyFill="1" applyBorder="1" applyAlignment="1">
      <alignment horizontal="center" vertical="center"/>
    </xf>
    <xf numFmtId="0" fontId="33" fillId="3" borderId="12" xfId="0" applyFont="1" applyFill="1" applyBorder="1" applyAlignment="1">
      <alignment horizontal="center" vertical="center"/>
    </xf>
    <xf numFmtId="0" fontId="34" fillId="3" borderId="7" xfId="0" applyFont="1" applyFill="1" applyBorder="1" applyAlignment="1">
      <alignment horizontal="center" vertical="center" wrapText="1"/>
    </xf>
    <xf numFmtId="0" fontId="33" fillId="3" borderId="9" xfId="0" applyFont="1" applyFill="1" applyBorder="1" applyAlignment="1">
      <alignment horizontal="center" vertical="center"/>
    </xf>
    <xf numFmtId="0" fontId="33" fillId="3" borderId="10" xfId="0" applyFont="1" applyFill="1" applyBorder="1" applyAlignment="1">
      <alignment horizontal="center" vertical="center"/>
    </xf>
    <xf numFmtId="0" fontId="19" fillId="2" borderId="0" xfId="0" applyFont="1" applyFill="1"/>
    <xf numFmtId="0" fontId="0" fillId="2" borderId="0" xfId="0" applyFill="1"/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" fillId="0" borderId="33" xfId="0" applyFont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center" vertical="center" wrapText="1"/>
      <protection locked="0"/>
    </xf>
    <xf numFmtId="0" fontId="0" fillId="0" borderId="39" xfId="0" applyFont="1" applyBorder="1" applyAlignment="1" applyProtection="1">
      <alignment horizontal="center" vertical="center" wrapText="1"/>
      <protection locked="0"/>
    </xf>
    <xf numFmtId="0" fontId="0" fillId="0" borderId="40" xfId="0" applyFont="1" applyBorder="1" applyAlignment="1" applyProtection="1">
      <alignment horizontal="center" vertical="center" wrapText="1"/>
      <protection locked="0"/>
    </xf>
    <xf numFmtId="0" fontId="0" fillId="0" borderId="41" xfId="0" applyFont="1" applyBorder="1" applyAlignment="1" applyProtection="1">
      <alignment horizontal="center" vertical="center" wrapText="1"/>
      <protection locked="0"/>
    </xf>
    <xf numFmtId="0" fontId="1" fillId="4" borderId="56" xfId="1" applyNumberFormat="1" applyFont="1" applyFill="1" applyBorder="1" applyAlignment="1" applyProtection="1">
      <alignment horizontal="center" vertical="center" wrapText="1"/>
      <protection locked="0"/>
    </xf>
    <xf numFmtId="0" fontId="1" fillId="5" borderId="57" xfId="1" applyNumberFormat="1" applyFont="1" applyFill="1" applyBorder="1" applyAlignment="1" applyProtection="1">
      <alignment horizontal="center" vertical="center" wrapText="1"/>
      <protection locked="0"/>
    </xf>
    <xf numFmtId="0" fontId="48" fillId="0" borderId="4" xfId="0" applyFont="1" applyBorder="1" applyAlignment="1" applyProtection="1">
      <alignment horizontal="center" vertical="center" wrapText="1"/>
      <protection locked="0"/>
    </xf>
    <xf numFmtId="0" fontId="48" fillId="0" borderId="39" xfId="0" applyFont="1" applyBorder="1" applyAlignment="1" applyProtection="1">
      <alignment horizontal="center" vertical="center" wrapText="1"/>
      <protection locked="0"/>
    </xf>
    <xf numFmtId="0" fontId="1" fillId="4" borderId="58" xfId="1" applyNumberFormat="1" applyFont="1" applyFill="1" applyBorder="1" applyAlignment="1" applyProtection="1">
      <alignment horizontal="center" vertical="center" wrapText="1"/>
      <protection locked="0"/>
    </xf>
    <xf numFmtId="0" fontId="48" fillId="0" borderId="40" xfId="0" applyFont="1" applyBorder="1" applyAlignment="1" applyProtection="1">
      <alignment horizontal="center" vertical="center" wrapText="1"/>
      <protection locked="0"/>
    </xf>
    <xf numFmtId="0" fontId="48" fillId="0" borderId="41" xfId="0" applyFont="1" applyBorder="1" applyAlignment="1" applyProtection="1">
      <alignment horizontal="center" vertical="center" wrapText="1"/>
      <protection locked="0"/>
    </xf>
    <xf numFmtId="0" fontId="1" fillId="6" borderId="58" xfId="1" applyFont="1" applyFill="1" applyBorder="1" applyAlignment="1" applyProtection="1">
      <alignment horizontal="center" vertical="center" wrapText="1"/>
      <protection locked="0"/>
    </xf>
    <xf numFmtId="0" fontId="49" fillId="6" borderId="60" xfId="1" applyNumberFormat="1" applyFont="1" applyFill="1" applyBorder="1" applyAlignment="1" applyProtection="1">
      <alignment horizontal="center" vertical="center" wrapText="1"/>
      <protection locked="0"/>
    </xf>
    <xf numFmtId="0" fontId="1" fillId="4" borderId="57" xfId="1" applyNumberFormat="1" applyFont="1" applyFill="1" applyBorder="1" applyAlignment="1" applyProtection="1">
      <alignment horizontal="center" vertical="center"/>
      <protection locked="0"/>
    </xf>
    <xf numFmtId="0" fontId="1" fillId="4" borderId="61" xfId="1" applyNumberFormat="1" applyFont="1" applyFill="1" applyBorder="1" applyAlignment="1" applyProtection="1">
      <alignment horizontal="center" vertical="center"/>
      <protection locked="0"/>
    </xf>
    <xf numFmtId="0" fontId="1" fillId="0" borderId="29" xfId="0" applyFont="1" applyFill="1" applyBorder="1" applyAlignment="1" applyProtection="1">
      <alignment horizontal="center" vertical="center"/>
      <protection locked="0"/>
    </xf>
    <xf numFmtId="0" fontId="1" fillId="0" borderId="57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33" xfId="0" applyFont="1" applyFill="1" applyBorder="1" applyAlignment="1" applyProtection="1">
      <alignment horizontal="center" vertical="center"/>
      <protection locked="0"/>
    </xf>
    <xf numFmtId="0" fontId="1" fillId="0" borderId="59" xfId="0" applyFont="1" applyFill="1" applyBorder="1" applyAlignment="1" applyProtection="1">
      <alignment horizontal="center" vertical="center"/>
      <protection locked="0"/>
    </xf>
    <xf numFmtId="0" fontId="49" fillId="0" borderId="60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49" xfId="0" applyFont="1" applyBorder="1" applyAlignment="1" applyProtection="1">
      <alignment horizontal="center" vertical="center"/>
      <protection locked="0"/>
    </xf>
    <xf numFmtId="0" fontId="50" fillId="0" borderId="40" xfId="0" applyFont="1" applyFill="1" applyBorder="1" applyAlignment="1" applyProtection="1">
      <alignment horizontal="left" vertical="center"/>
      <protection locked="0"/>
    </xf>
    <xf numFmtId="0" fontId="1" fillId="0" borderId="3" xfId="0" applyFont="1" applyFill="1" applyBorder="1" applyAlignment="1" applyProtection="1">
      <alignment horizontal="center" vertical="center"/>
      <protection locked="0"/>
    </xf>
    <xf numFmtId="0" fontId="50" fillId="0" borderId="3" xfId="0" applyFont="1" applyFill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0" fontId="1" fillId="0" borderId="39" xfId="0" applyFont="1" applyBorder="1" applyAlignment="1" applyProtection="1">
      <alignment horizontal="center" vertical="center" wrapText="1"/>
      <protection locked="0"/>
    </xf>
    <xf numFmtId="0" fontId="50" fillId="0" borderId="3" xfId="0" applyFont="1" applyBorder="1" applyAlignment="1" applyProtection="1">
      <alignment horizontal="center" vertical="center"/>
      <protection locked="0"/>
    </xf>
    <xf numFmtId="0" fontId="51" fillId="0" borderId="3" xfId="0" applyFont="1" applyBorder="1" applyAlignment="1" applyProtection="1">
      <alignment horizontal="center" vertical="center"/>
      <protection locked="0"/>
    </xf>
    <xf numFmtId="0" fontId="1" fillId="4" borderId="39" xfId="0" applyFont="1" applyFill="1" applyBorder="1" applyAlignment="1" applyProtection="1">
      <alignment horizontal="center" vertical="center" wrapText="1"/>
      <protection locked="0"/>
    </xf>
    <xf numFmtId="0" fontId="1" fillId="4" borderId="4" xfId="0" applyFont="1" applyFill="1" applyBorder="1" applyAlignment="1" applyProtection="1">
      <alignment horizontal="center" vertical="center" wrapText="1"/>
      <protection locked="0"/>
    </xf>
    <xf numFmtId="0" fontId="0" fillId="4" borderId="39" xfId="0" applyFont="1" applyFill="1" applyBorder="1" applyAlignment="1" applyProtection="1">
      <alignment horizontal="center" vertical="center" wrapText="1"/>
      <protection locked="0"/>
    </xf>
    <xf numFmtId="0" fontId="1" fillId="0" borderId="40" xfId="0" applyFont="1" applyBorder="1" applyAlignment="1" applyProtection="1">
      <alignment horizontal="center" vertical="center" wrapText="1"/>
      <protection locked="0"/>
    </xf>
    <xf numFmtId="0" fontId="1" fillId="0" borderId="41" xfId="0" applyFont="1" applyBorder="1" applyAlignment="1" applyProtection="1">
      <alignment horizontal="center" vertical="center" wrapText="1"/>
      <protection locked="0"/>
    </xf>
    <xf numFmtId="0" fontId="1" fillId="4" borderId="41" xfId="0" applyFont="1" applyFill="1" applyBorder="1" applyAlignment="1" applyProtection="1">
      <alignment horizontal="center" vertical="center" wrapText="1"/>
      <protection locked="0"/>
    </xf>
    <xf numFmtId="0" fontId="1" fillId="4" borderId="40" xfId="0" applyFont="1" applyFill="1" applyBorder="1" applyAlignment="1" applyProtection="1">
      <alignment horizontal="center" vertical="center" wrapText="1"/>
      <protection locked="0"/>
    </xf>
    <xf numFmtId="0" fontId="0" fillId="4" borderId="41" xfId="0" applyFont="1" applyFill="1" applyBorder="1" applyAlignment="1" applyProtection="1">
      <alignment horizontal="center" vertical="center" wrapText="1"/>
      <protection locked="0"/>
    </xf>
    <xf numFmtId="0" fontId="50" fillId="4" borderId="3" xfId="0" applyFont="1" applyFill="1" applyBorder="1" applyAlignment="1" applyProtection="1">
      <alignment horizontal="center" vertical="center"/>
      <protection locked="0"/>
    </xf>
    <xf numFmtId="0" fontId="1" fillId="0" borderId="57" xfId="1" applyFont="1" applyFill="1" applyBorder="1" applyAlignment="1" applyProtection="1">
      <alignment horizontal="center" vertical="center" wrapText="1"/>
      <protection locked="0"/>
    </xf>
    <xf numFmtId="0" fontId="49" fillId="0" borderId="57" xfId="1" applyNumberFormat="1" applyFont="1" applyFill="1" applyBorder="1" applyAlignment="1" applyProtection="1">
      <alignment horizontal="center" vertical="center"/>
      <protection locked="0"/>
    </xf>
    <xf numFmtId="0" fontId="49" fillId="0" borderId="61" xfId="1" applyNumberFormat="1" applyFont="1" applyFill="1" applyBorder="1" applyAlignment="1" applyProtection="1">
      <alignment horizontal="center" vertical="center"/>
      <protection locked="0"/>
    </xf>
    <xf numFmtId="0" fontId="49" fillId="0" borderId="61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Fill="1" applyBorder="1" applyAlignment="1" applyProtection="1">
      <alignment horizontal="center" vertical="center" wrapText="1"/>
      <protection locked="0"/>
    </xf>
    <xf numFmtId="0" fontId="1" fillId="0" borderId="39" xfId="0" applyFont="1" applyFill="1" applyBorder="1" applyAlignment="1" applyProtection="1">
      <alignment horizontal="center" vertical="center" wrapText="1"/>
      <protection locked="0"/>
    </xf>
    <xf numFmtId="0" fontId="50" fillId="0" borderId="40" xfId="0" applyFont="1" applyBorder="1" applyAlignment="1" applyProtection="1">
      <alignment horizontal="center" vertical="center"/>
      <protection locked="0"/>
    </xf>
    <xf numFmtId="0" fontId="1" fillId="0" borderId="61" xfId="1" applyNumberFormat="1" applyFont="1" applyFill="1" applyBorder="1" applyAlignment="1" applyProtection="1">
      <alignment horizontal="center" vertical="center"/>
      <protection locked="0"/>
    </xf>
    <xf numFmtId="0" fontId="1" fillId="0" borderId="41" xfId="0" applyFont="1" applyFill="1" applyBorder="1" applyAlignment="1" applyProtection="1">
      <alignment horizontal="center" vertical="center" wrapText="1"/>
      <protection locked="0"/>
    </xf>
    <xf numFmtId="0" fontId="1" fillId="0" borderId="40" xfId="0" applyFont="1" applyFill="1" applyBorder="1" applyAlignment="1" applyProtection="1">
      <alignment horizontal="center" vertical="center" wrapText="1"/>
      <protection locked="0"/>
    </xf>
    <xf numFmtId="0" fontId="51" fillId="0" borderId="40" xfId="0" applyFont="1" applyBorder="1" applyAlignment="1" applyProtection="1">
      <alignment horizontal="center" vertical="center"/>
      <protection locked="0"/>
    </xf>
    <xf numFmtId="0" fontId="1" fillId="0" borderId="40" xfId="0" applyFont="1" applyFill="1" applyBorder="1" applyAlignment="1" applyProtection="1">
      <alignment horizontal="left" vertical="center" wrapText="1"/>
      <protection locked="0"/>
    </xf>
    <xf numFmtId="0" fontId="1" fillId="0" borderId="42" xfId="0" applyFont="1" applyBorder="1" applyAlignment="1" applyProtection="1">
      <alignment horizontal="center" vertical="center" wrapText="1"/>
      <protection locked="0"/>
    </xf>
    <xf numFmtId="0" fontId="1" fillId="0" borderId="43" xfId="0" applyFont="1" applyBorder="1" applyAlignment="1" applyProtection="1">
      <alignment horizontal="center" vertical="center" wrapText="1"/>
      <protection locked="0"/>
    </xf>
    <xf numFmtId="0" fontId="1" fillId="0" borderId="62" xfId="1" applyNumberFormat="1" applyFont="1" applyFill="1" applyBorder="1" applyAlignment="1" applyProtection="1">
      <alignment horizontal="center" vertical="center" wrapText="1"/>
      <protection locked="0"/>
    </xf>
    <xf numFmtId="0" fontId="49" fillId="0" borderId="3" xfId="1" applyNumberFormat="1" applyFont="1" applyFill="1" applyBorder="1" applyAlignment="1" applyProtection="1">
      <alignment horizontal="center" vertical="center"/>
      <protection locked="0"/>
    </xf>
    <xf numFmtId="0" fontId="1" fillId="0" borderId="60" xfId="3" applyFont="1" applyFill="1" applyBorder="1" applyAlignment="1" applyProtection="1">
      <alignment horizontal="left" vertical="center" wrapText="1"/>
      <protection locked="0"/>
    </xf>
    <xf numFmtId="0" fontId="1" fillId="0" borderId="55" xfId="4" applyFont="1" applyFill="1" applyBorder="1" applyAlignment="1" applyProtection="1">
      <alignment horizontal="left" vertical="center" wrapText="1"/>
      <protection locked="0"/>
    </xf>
    <xf numFmtId="0" fontId="49" fillId="7" borderId="61" xfId="1" applyNumberFormat="1" applyFont="1" applyFill="1" applyBorder="1" applyAlignment="1" applyProtection="1">
      <alignment horizontal="center" vertical="center"/>
      <protection locked="0"/>
    </xf>
    <xf numFmtId="0" fontId="49" fillId="0" borderId="63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59" xfId="0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>
      <alignment horizontal="center" vertical="center" wrapText="1"/>
    </xf>
    <xf numFmtId="0" fontId="4" fillId="0" borderId="45" xfId="0" applyFont="1" applyBorder="1" applyAlignment="1">
      <alignment horizontal="center" vertical="center" wrapText="1"/>
    </xf>
    <xf numFmtId="0" fontId="24" fillId="0" borderId="0" xfId="0" applyFont="1"/>
    <xf numFmtId="0" fontId="4" fillId="0" borderId="0" xfId="0" applyFont="1" applyBorder="1" applyAlignment="1">
      <alignment horizontal="center" vertical="center" wrapText="1"/>
    </xf>
    <xf numFmtId="0" fontId="52" fillId="0" borderId="3" xfId="0" applyFont="1" applyBorder="1" applyAlignment="1">
      <alignment vertical="center" wrapText="1"/>
    </xf>
    <xf numFmtId="0" fontId="50" fillId="0" borderId="40" xfId="0" applyFont="1" applyFill="1" applyBorder="1" applyAlignment="1" applyProtection="1">
      <alignment horizontal="left" vertical="center" wrapText="1"/>
      <protection locked="0"/>
    </xf>
    <xf numFmtId="0" fontId="1" fillId="0" borderId="3" xfId="0" applyFont="1" applyBorder="1" applyAlignment="1">
      <alignment wrapText="1"/>
    </xf>
    <xf numFmtId="0" fontId="1" fillId="0" borderId="3" xfId="0" applyFont="1" applyBorder="1" applyAlignment="1">
      <alignment horizontal="left" vertical="top" wrapText="1"/>
    </xf>
    <xf numFmtId="0" fontId="1" fillId="0" borderId="3" xfId="0" applyFont="1" applyBorder="1"/>
    <xf numFmtId="0" fontId="4" fillId="0" borderId="29" xfId="0" applyFont="1" applyFill="1" applyBorder="1" applyAlignment="1" applyProtection="1">
      <alignment horizontal="center" vertical="center"/>
      <protection locked="0"/>
    </xf>
    <xf numFmtId="0" fontId="52" fillId="0" borderId="3" xfId="0" applyFont="1" applyBorder="1"/>
    <xf numFmtId="0" fontId="52" fillId="0" borderId="3" xfId="0" applyFont="1" applyBorder="1" applyAlignment="1">
      <alignment wrapText="1"/>
    </xf>
    <xf numFmtId="0" fontId="52" fillId="0" borderId="3" xfId="0" applyFont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3" borderId="3" xfId="0" applyFont="1" applyFill="1" applyBorder="1"/>
    <xf numFmtId="49" fontId="0" fillId="0" borderId="0" xfId="0" applyNumberFormat="1"/>
    <xf numFmtId="0" fontId="0" fillId="0" borderId="0" xfId="0" applyFont="1"/>
    <xf numFmtId="49" fontId="1" fillId="0" borderId="3" xfId="0" applyNumberFormat="1" applyFont="1" applyBorder="1"/>
    <xf numFmtId="0" fontId="1" fillId="0" borderId="3" xfId="0" applyFont="1" applyBorder="1" applyAlignment="1">
      <alignment vertical="center" wrapText="1"/>
    </xf>
    <xf numFmtId="49" fontId="1" fillId="0" borderId="3" xfId="0" applyNumberFormat="1" applyFont="1" applyBorder="1" applyAlignment="1">
      <alignment horizontal="left"/>
    </xf>
    <xf numFmtId="49" fontId="1" fillId="3" borderId="3" xfId="0" applyNumberFormat="1" applyFont="1" applyFill="1" applyBorder="1" applyAlignment="1">
      <alignment horizontal="left"/>
    </xf>
    <xf numFmtId="49" fontId="1" fillId="0" borderId="0" xfId="0" applyNumberFormat="1" applyFont="1" applyAlignment="1">
      <alignment horizontal="left"/>
    </xf>
    <xf numFmtId="49" fontId="2" fillId="0" borderId="3" xfId="0" applyNumberFormat="1" applyFont="1" applyBorder="1" applyAlignment="1">
      <alignment horizontal="left" vertical="center" wrapText="1"/>
    </xf>
    <xf numFmtId="0" fontId="52" fillId="0" borderId="3" xfId="0" applyFont="1" applyBorder="1" applyAlignment="1">
      <alignment horizontal="left" vertical="center"/>
    </xf>
    <xf numFmtId="0" fontId="52" fillId="0" borderId="3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49" fontId="1" fillId="0" borderId="0" xfId="0" applyNumberFormat="1" applyFont="1"/>
    <xf numFmtId="0" fontId="52" fillId="0" borderId="3" xfId="0" applyFont="1" applyBorder="1" applyAlignment="1">
      <alignment horizontal="left"/>
    </xf>
    <xf numFmtId="0" fontId="1" fillId="0" borderId="3" xfId="0" applyFont="1" applyBorder="1" applyAlignment="1">
      <alignment horizontal="left" vertical="center"/>
    </xf>
    <xf numFmtId="0" fontId="52" fillId="0" borderId="3" xfId="0" applyFont="1" applyBorder="1" applyAlignment="1">
      <alignment horizontal="left" wrapText="1"/>
    </xf>
    <xf numFmtId="49" fontId="2" fillId="0" borderId="3" xfId="0" applyNumberFormat="1" applyFont="1" applyBorder="1" applyAlignment="1">
      <alignment horizontal="left"/>
    </xf>
    <xf numFmtId="49" fontId="2" fillId="8" borderId="3" xfId="0" applyNumberFormat="1" applyFont="1" applyFill="1" applyBorder="1" applyAlignment="1">
      <alignment horizontal="left"/>
    </xf>
    <xf numFmtId="49" fontId="2" fillId="8" borderId="3" xfId="0" applyNumberFormat="1" applyFont="1" applyFill="1" applyBorder="1" applyAlignment="1">
      <alignment horizontal="left" vertical="center"/>
    </xf>
    <xf numFmtId="0" fontId="0" fillId="0" borderId="3" xfId="0" applyBorder="1"/>
    <xf numFmtId="0" fontId="0" fillId="9" borderId="3" xfId="0" applyFill="1" applyBorder="1"/>
    <xf numFmtId="49" fontId="0" fillId="0" borderId="3" xfId="0" applyNumberFormat="1" applyBorder="1"/>
    <xf numFmtId="0" fontId="5" fillId="0" borderId="30" xfId="0" applyFont="1" applyBorder="1" applyAlignment="1">
      <alignment horizontal="center" vertical="center" wrapText="1"/>
    </xf>
    <xf numFmtId="0" fontId="20" fillId="0" borderId="0" xfId="0" applyFont="1" applyBorder="1" applyAlignment="1"/>
    <xf numFmtId="0" fontId="20" fillId="0" borderId="13" xfId="0" applyFont="1" applyBorder="1" applyAlignment="1"/>
    <xf numFmtId="0" fontId="7" fillId="2" borderId="30" xfId="0" applyFont="1" applyFill="1" applyBorder="1" applyAlignment="1">
      <alignment horizontal="right" vertical="center"/>
    </xf>
    <xf numFmtId="0" fontId="7" fillId="2" borderId="31" xfId="0" applyFont="1" applyFill="1" applyBorder="1" applyAlignment="1">
      <alignment horizontal="right" vertical="center"/>
    </xf>
    <xf numFmtId="0" fontId="7" fillId="2" borderId="32" xfId="0" applyFont="1" applyFill="1" applyBorder="1" applyAlignment="1">
      <alignment horizontal="right" vertical="center"/>
    </xf>
    <xf numFmtId="0" fontId="4" fillId="0" borderId="32" xfId="0" applyFont="1" applyBorder="1" applyAlignment="1" applyProtection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0" borderId="0" xfId="0" applyFont="1" applyBorder="1" applyAlignment="1">
      <alignment horizontal="center" vertical="center"/>
    </xf>
    <xf numFmtId="0" fontId="7" fillId="2" borderId="13" xfId="0" applyFont="1" applyFill="1" applyBorder="1" applyAlignment="1">
      <alignment horizontal="right" vertical="center"/>
    </xf>
    <xf numFmtId="0" fontId="57" fillId="9" borderId="45" xfId="0" applyFont="1" applyFill="1" applyBorder="1" applyAlignment="1">
      <alignment horizontal="center" vertical="center" wrapText="1"/>
    </xf>
    <xf numFmtId="0" fontId="4" fillId="0" borderId="65" xfId="0" applyFont="1" applyBorder="1" applyAlignment="1" applyProtection="1">
      <alignment horizontal="center" vertical="center"/>
      <protection locked="0"/>
    </xf>
    <xf numFmtId="0" fontId="57" fillId="0" borderId="45" xfId="0" applyFont="1" applyBorder="1" applyAlignment="1">
      <alignment horizontal="center" vertical="center" wrapText="1"/>
    </xf>
    <xf numFmtId="0" fontId="59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/>
    </xf>
    <xf numFmtId="49" fontId="4" fillId="0" borderId="46" xfId="0" applyNumberFormat="1" applyFont="1" applyBorder="1" applyAlignment="1" applyProtection="1">
      <alignment horizontal="center" vertical="center" wrapText="1"/>
      <protection locked="0"/>
    </xf>
    <xf numFmtId="49" fontId="4" fillId="0" borderId="49" xfId="0" applyNumberFormat="1" applyFont="1" applyBorder="1" applyAlignment="1" applyProtection="1">
      <alignment horizontal="center" vertical="center" wrapText="1"/>
      <protection locked="0"/>
    </xf>
    <xf numFmtId="0" fontId="7" fillId="2" borderId="53" xfId="0" applyFont="1" applyFill="1" applyBorder="1" applyAlignment="1">
      <alignment horizontal="right" vertical="center"/>
    </xf>
    <xf numFmtId="0" fontId="7" fillId="2" borderId="54" xfId="0" applyFont="1" applyFill="1" applyBorder="1" applyAlignment="1">
      <alignment horizontal="right" vertical="center"/>
    </xf>
    <xf numFmtId="0" fontId="8" fillId="2" borderId="36" xfId="0" applyFont="1" applyFill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33" xfId="0" applyFont="1" applyBorder="1" applyAlignment="1" applyProtection="1">
      <alignment horizontal="center" vertical="center" wrapText="1"/>
      <protection locked="0"/>
    </xf>
    <xf numFmtId="0" fontId="4" fillId="0" borderId="66" xfId="0" applyFont="1" applyBorder="1" applyAlignment="1" applyProtection="1">
      <alignment horizontal="center" vertical="center" wrapText="1"/>
      <protection locked="0"/>
    </xf>
    <xf numFmtId="0" fontId="59" fillId="0" borderId="64" xfId="0" applyFont="1" applyBorder="1" applyAlignment="1">
      <alignment horizontal="center" vertical="center"/>
    </xf>
    <xf numFmtId="0" fontId="59" fillId="0" borderId="22" xfId="0" applyFont="1" applyBorder="1" applyAlignment="1">
      <alignment horizontal="center" vertical="center"/>
    </xf>
    <xf numFmtId="0" fontId="4" fillId="0" borderId="66" xfId="0" applyFont="1" applyBorder="1" applyAlignment="1" applyProtection="1">
      <alignment horizontal="center" vertical="center"/>
      <protection locked="0"/>
    </xf>
    <xf numFmtId="0" fontId="4" fillId="0" borderId="46" xfId="0" applyFont="1" applyBorder="1" applyAlignment="1" applyProtection="1">
      <alignment horizontal="left" vertical="center" wrapText="1"/>
      <protection locked="0"/>
    </xf>
    <xf numFmtId="0" fontId="4" fillId="0" borderId="21" xfId="0" applyFont="1" applyBorder="1" applyAlignment="1" applyProtection="1">
      <alignment horizontal="left" vertical="center" wrapText="1"/>
      <protection locked="0"/>
    </xf>
    <xf numFmtId="0" fontId="4" fillId="0" borderId="67" xfId="0" applyFont="1" applyBorder="1" applyAlignment="1" applyProtection="1">
      <alignment horizontal="left" vertical="center" wrapText="1"/>
      <protection locked="0"/>
    </xf>
    <xf numFmtId="0" fontId="4" fillId="0" borderId="36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4" fillId="0" borderId="33" xfId="0" applyFont="1" applyBorder="1" applyAlignment="1" applyProtection="1">
      <alignment horizontal="left" vertical="center" wrapText="1"/>
      <protection locked="0"/>
    </xf>
    <xf numFmtId="0" fontId="4" fillId="0" borderId="66" xfId="0" applyFont="1" applyBorder="1" applyAlignment="1" applyProtection="1">
      <alignment horizontal="left" vertical="center" wrapText="1"/>
      <protection locked="0"/>
    </xf>
    <xf numFmtId="0" fontId="4" fillId="0" borderId="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33" xfId="0" applyFont="1" applyBorder="1" applyAlignment="1" applyProtection="1">
      <alignment horizontal="center" vertical="center" wrapText="1"/>
      <protection locked="0"/>
    </xf>
    <xf numFmtId="0" fontId="12" fillId="0" borderId="66" xfId="0" applyFont="1" applyBorder="1" applyAlignment="1" applyProtection="1">
      <alignment horizontal="center" vertical="center" wrapText="1"/>
      <protection locked="0"/>
    </xf>
    <xf numFmtId="0" fontId="4" fillId="0" borderId="37" xfId="0" applyFont="1" applyBorder="1" applyAlignment="1" applyProtection="1">
      <alignment horizontal="center" vertical="center"/>
      <protection locked="0"/>
    </xf>
    <xf numFmtId="0" fontId="4" fillId="0" borderId="68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0" xfId="0" applyFont="1" applyBorder="1"/>
    <xf numFmtId="0" fontId="20" fillId="0" borderId="31" xfId="0" applyFont="1" applyBorder="1" applyAlignment="1"/>
    <xf numFmtId="0" fontId="4" fillId="0" borderId="31" xfId="0" applyFont="1" applyBorder="1"/>
    <xf numFmtId="0" fontId="4" fillId="0" borderId="32" xfId="0" applyFont="1" applyBorder="1"/>
    <xf numFmtId="0" fontId="4" fillId="0" borderId="30" xfId="0" applyFont="1" applyBorder="1" applyAlignment="1">
      <alignment horizontal="left" vertical="center"/>
    </xf>
    <xf numFmtId="0" fontId="4" fillId="0" borderId="3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61" fillId="0" borderId="0" xfId="0" applyFont="1"/>
    <xf numFmtId="0" fontId="62" fillId="0" borderId="0" xfId="0" applyFont="1"/>
    <xf numFmtId="0" fontId="62" fillId="0" borderId="0" xfId="0" applyFont="1" applyAlignment="1"/>
    <xf numFmtId="0" fontId="4" fillId="0" borderId="69" xfId="0" applyFont="1" applyBorder="1" applyAlignment="1">
      <alignment horizontal="center" vertical="center"/>
    </xf>
    <xf numFmtId="0" fontId="1" fillId="0" borderId="49" xfId="0" applyFont="1" applyFill="1" applyBorder="1" applyAlignment="1" applyProtection="1">
      <alignment horizontal="center" vertical="center"/>
      <protection locked="0"/>
    </xf>
    <xf numFmtId="0" fontId="1" fillId="0" borderId="70" xfId="0" applyFont="1" applyFill="1" applyBorder="1" applyAlignment="1" applyProtection="1">
      <alignment horizontal="center" vertical="center"/>
      <protection locked="0"/>
    </xf>
    <xf numFmtId="0" fontId="50" fillId="0" borderId="70" xfId="0" applyFont="1" applyFill="1" applyBorder="1" applyAlignment="1" applyProtection="1">
      <alignment horizontal="center" vertical="center"/>
      <protection locked="0"/>
    </xf>
    <xf numFmtId="16" fontId="1" fillId="0" borderId="49" xfId="0" applyNumberFormat="1" applyFont="1" applyBorder="1" applyAlignment="1" applyProtection="1">
      <alignment horizontal="center" vertical="center"/>
      <protection locked="0"/>
    </xf>
    <xf numFmtId="0" fontId="39" fillId="0" borderId="0" xfId="0" applyFont="1"/>
    <xf numFmtId="0" fontId="60" fillId="0" borderId="0" xfId="0" applyFont="1" applyAlignment="1">
      <alignment vertical="top"/>
    </xf>
    <xf numFmtId="0" fontId="60" fillId="0" borderId="0" xfId="0" applyFont="1" applyAlignment="1">
      <alignment vertical="center"/>
    </xf>
    <xf numFmtId="0" fontId="65" fillId="9" borderId="3" xfId="0" applyFont="1" applyFill="1" applyBorder="1" applyAlignment="1">
      <alignment horizontal="center" vertical="center"/>
    </xf>
    <xf numFmtId="0" fontId="65" fillId="9" borderId="3" xfId="0" applyFont="1" applyFill="1" applyBorder="1" applyAlignment="1">
      <alignment horizontal="center"/>
    </xf>
    <xf numFmtId="0" fontId="4" fillId="0" borderId="53" xfId="0" applyFont="1" applyBorder="1" applyAlignment="1" applyProtection="1">
      <alignment horizontal="center" vertical="center"/>
    </xf>
    <xf numFmtId="0" fontId="7" fillId="2" borderId="30" xfId="0" applyFont="1" applyFill="1" applyBorder="1" applyAlignment="1">
      <alignment horizontal="left" vertical="center"/>
    </xf>
    <xf numFmtId="49" fontId="59" fillId="10" borderId="3" xfId="0" applyNumberFormat="1" applyFont="1" applyFill="1" applyBorder="1" applyAlignment="1">
      <alignment horizontal="center" vertical="center"/>
    </xf>
    <xf numFmtId="0" fontId="59" fillId="10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/>
    </xf>
    <xf numFmtId="0" fontId="63" fillId="10" borderId="3" xfId="0" applyFont="1" applyFill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4" fillId="0" borderId="48" xfId="0" applyFont="1" applyBorder="1" applyAlignment="1" applyProtection="1">
      <alignment horizontal="left" vertical="center" wrapText="1"/>
      <protection locked="0"/>
    </xf>
    <xf numFmtId="0" fontId="1" fillId="4" borderId="55" xfId="2" applyFont="1" applyFill="1" applyBorder="1" applyAlignment="1" applyProtection="1">
      <alignment horizontal="left" vertical="center"/>
      <protection locked="0"/>
    </xf>
    <xf numFmtId="14" fontId="7" fillId="0" borderId="3" xfId="0" applyNumberFormat="1" applyFont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0" fillId="3" borderId="4" xfId="0" applyFont="1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49" fillId="0" borderId="60" xfId="1" applyNumberFormat="1" applyFont="1" applyFill="1" applyBorder="1" applyAlignment="1" applyProtection="1">
      <alignment horizontal="center" vertical="center"/>
      <protection locked="0"/>
    </xf>
    <xf numFmtId="0" fontId="1" fillId="0" borderId="72" xfId="0" applyFont="1" applyBorder="1" applyAlignment="1" applyProtection="1">
      <alignment horizontal="center" vertical="center" wrapText="1"/>
      <protection locked="0"/>
    </xf>
    <xf numFmtId="0" fontId="1" fillId="0" borderId="47" xfId="0" applyFont="1" applyBorder="1" applyAlignment="1" applyProtection="1">
      <alignment horizontal="center" vertical="center" wrapText="1"/>
      <protection locked="0"/>
    </xf>
    <xf numFmtId="0" fontId="0" fillId="0" borderId="47" xfId="0" applyBorder="1" applyAlignment="1" applyProtection="1">
      <alignment horizontal="center" vertical="center" wrapText="1"/>
      <protection locked="0"/>
    </xf>
    <xf numFmtId="0" fontId="0" fillId="0" borderId="73" xfId="0" applyBorder="1" applyAlignment="1" applyProtection="1">
      <alignment horizontal="center" vertical="center" wrapText="1"/>
      <protection locked="0"/>
    </xf>
    <xf numFmtId="0" fontId="49" fillId="0" borderId="22" xfId="1" applyNumberFormat="1" applyFont="1" applyFill="1" applyBorder="1" applyAlignment="1" applyProtection="1">
      <alignment horizontal="center" vertical="center"/>
      <protection locked="0"/>
    </xf>
    <xf numFmtId="0" fontId="1" fillId="0" borderId="22" xfId="0" applyFont="1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74" xfId="0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1" fillId="0" borderId="70" xfId="0" applyFont="1" applyBorder="1" applyAlignment="1" applyProtection="1">
      <alignment horizontal="center" vertical="center" wrapText="1"/>
      <protection locked="0"/>
    </xf>
    <xf numFmtId="0" fontId="19" fillId="3" borderId="45" xfId="0" applyFont="1" applyFill="1" applyBorder="1" applyAlignment="1">
      <alignment horizontal="center" vertical="center" wrapText="1"/>
    </xf>
    <xf numFmtId="0" fontId="19" fillId="3" borderId="75" xfId="0" applyFont="1" applyFill="1" applyBorder="1" applyAlignment="1">
      <alignment horizontal="center" vertical="center" wrapText="1"/>
    </xf>
    <xf numFmtId="0" fontId="48" fillId="0" borderId="72" xfId="0" applyFont="1" applyBorder="1" applyAlignment="1" applyProtection="1">
      <alignment horizontal="center" vertical="center" wrapText="1"/>
      <protection locked="0"/>
    </xf>
    <xf numFmtId="0" fontId="48" fillId="0" borderId="47" xfId="0" applyFont="1" applyBorder="1" applyAlignment="1" applyProtection="1">
      <alignment horizontal="center" vertical="center" wrapText="1"/>
      <protection locked="0"/>
    </xf>
    <xf numFmtId="0" fontId="19" fillId="2" borderId="75" xfId="0" applyFont="1" applyFill="1" applyBorder="1" applyAlignment="1">
      <alignment horizontal="center" vertical="center" wrapText="1"/>
    </xf>
    <xf numFmtId="0" fontId="1" fillId="0" borderId="73" xfId="0" applyFont="1" applyBorder="1" applyAlignment="1" applyProtection="1">
      <alignment horizontal="center" vertical="center" wrapText="1"/>
      <protection locked="0"/>
    </xf>
    <xf numFmtId="0" fontId="1" fillId="0" borderId="76" xfId="0" applyFont="1" applyBorder="1" applyAlignment="1" applyProtection="1">
      <alignment horizontal="center" vertical="center" wrapText="1"/>
      <protection locked="0"/>
    </xf>
    <xf numFmtId="0" fontId="1" fillId="4" borderId="22" xfId="0" applyFont="1" applyFill="1" applyBorder="1" applyAlignment="1" applyProtection="1">
      <alignment horizontal="center" vertical="center" wrapText="1"/>
      <protection locked="0"/>
    </xf>
    <xf numFmtId="0" fontId="19" fillId="3" borderId="71" xfId="0" applyFont="1" applyFill="1" applyBorder="1" applyAlignment="1">
      <alignment horizontal="center" vertical="center" wrapText="1"/>
    </xf>
    <xf numFmtId="0" fontId="48" fillId="0" borderId="76" xfId="0" applyFont="1" applyBorder="1" applyAlignment="1" applyProtection="1">
      <alignment horizontal="center" vertical="center" wrapText="1"/>
      <protection locked="0"/>
    </xf>
    <xf numFmtId="0" fontId="48" fillId="0" borderId="22" xfId="0" applyFont="1" applyBorder="1" applyAlignment="1" applyProtection="1">
      <alignment horizontal="center" vertical="center" wrapText="1"/>
      <protection locked="0"/>
    </xf>
    <xf numFmtId="0" fontId="19" fillId="2" borderId="71" xfId="0" applyFont="1" applyFill="1" applyBorder="1" applyAlignment="1">
      <alignment horizontal="center" vertical="center" wrapText="1"/>
    </xf>
    <xf numFmtId="0" fontId="1" fillId="0" borderId="74" xfId="0" applyFont="1" applyBorder="1" applyAlignment="1" applyProtection="1">
      <alignment horizontal="center" vertical="center" wrapText="1"/>
      <protection locked="0"/>
    </xf>
    <xf numFmtId="0" fontId="19" fillId="2" borderId="45" xfId="0" applyFont="1" applyFill="1" applyBorder="1" applyAlignment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  <protection locked="0"/>
    </xf>
    <xf numFmtId="0" fontId="48" fillId="0" borderId="15" xfId="0" applyFont="1" applyBorder="1" applyAlignment="1" applyProtection="1">
      <alignment horizontal="center" vertical="center" wrapText="1"/>
      <protection locked="0"/>
    </xf>
    <xf numFmtId="0" fontId="48" fillId="0" borderId="3" xfId="0" applyFont="1" applyBorder="1" applyAlignment="1" applyProtection="1">
      <alignment horizontal="center" vertical="center" wrapText="1"/>
      <protection locked="0"/>
    </xf>
    <xf numFmtId="0" fontId="1" fillId="0" borderId="50" xfId="0" applyFont="1" applyBorder="1" applyAlignment="1" applyProtection="1">
      <alignment horizontal="center" vertical="center" wrapText="1"/>
      <protection locked="0"/>
    </xf>
    <xf numFmtId="0" fontId="33" fillId="3" borderId="7" xfId="0" applyFont="1" applyFill="1" applyBorder="1" applyAlignment="1">
      <alignment horizontal="center" vertical="center"/>
    </xf>
    <xf numFmtId="0" fontId="33" fillId="3" borderId="8" xfId="0" applyFont="1" applyFill="1" applyBorder="1" applyAlignment="1">
      <alignment horizontal="center" vertical="center"/>
    </xf>
    <xf numFmtId="0" fontId="8" fillId="0" borderId="47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38" fillId="0" borderId="47" xfId="0" applyFont="1" applyBorder="1" applyAlignment="1" applyProtection="1">
      <alignment horizontal="center" vertical="center" wrapText="1"/>
      <protection locked="0"/>
    </xf>
    <xf numFmtId="0" fontId="38" fillId="0" borderId="22" xfId="0" applyFont="1" applyBorder="1" applyAlignment="1" applyProtection="1">
      <alignment horizontal="center" vertical="center" wrapText="1"/>
      <protection locked="0"/>
    </xf>
    <xf numFmtId="0" fontId="66" fillId="0" borderId="0" xfId="0" applyFont="1" applyAlignment="1">
      <alignment horizontal="center"/>
    </xf>
    <xf numFmtId="0" fontId="60" fillId="0" borderId="0" xfId="0" applyFont="1" applyAlignment="1">
      <alignment horizontal="left" vertical="center"/>
    </xf>
    <xf numFmtId="0" fontId="6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top"/>
    </xf>
    <xf numFmtId="0" fontId="59" fillId="0" borderId="0" xfId="0" applyFont="1" applyAlignment="1">
      <alignment horizontal="center" wrapText="1"/>
    </xf>
    <xf numFmtId="0" fontId="15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36" fillId="0" borderId="46" xfId="0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/>
    </xf>
    <xf numFmtId="0" fontId="35" fillId="0" borderId="46" xfId="0" applyFont="1" applyBorder="1" applyAlignment="1" applyProtection="1">
      <alignment horizontal="center" vertical="center"/>
      <protection locked="0"/>
    </xf>
    <xf numFmtId="0" fontId="35" fillId="0" borderId="46" xfId="0" applyFont="1" applyBorder="1" applyAlignment="1" applyProtection="1">
      <alignment horizontal="center" wrapText="1"/>
      <protection locked="0"/>
    </xf>
    <xf numFmtId="0" fontId="13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1" fillId="0" borderId="0" xfId="0" applyFont="1" applyAlignment="1">
      <alignment horizontal="left" wrapText="1"/>
    </xf>
    <xf numFmtId="0" fontId="0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0" fontId="20" fillId="0" borderId="0" xfId="0" applyFont="1" applyAlignment="1">
      <alignment horizontal="center" wrapText="1"/>
    </xf>
    <xf numFmtId="0" fontId="2" fillId="0" borderId="0" xfId="0" applyFont="1" applyAlignment="1">
      <alignment horizontal="center" vertical="top"/>
    </xf>
    <xf numFmtId="0" fontId="43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top"/>
    </xf>
    <xf numFmtId="0" fontId="14" fillId="2" borderId="17" xfId="0" applyFont="1" applyFill="1" applyBorder="1" applyAlignment="1">
      <alignment horizontal="center" vertical="center"/>
    </xf>
    <xf numFmtId="0" fontId="14" fillId="2" borderId="18" xfId="0" applyFont="1" applyFill="1" applyBorder="1" applyAlignment="1">
      <alignment horizontal="center" vertical="center"/>
    </xf>
    <xf numFmtId="0" fontId="14" fillId="2" borderId="19" xfId="0" applyFont="1" applyFill="1" applyBorder="1" applyAlignment="1">
      <alignment horizontal="center" vertical="center"/>
    </xf>
    <xf numFmtId="0" fontId="20" fillId="2" borderId="20" xfId="0" applyFont="1" applyFill="1" applyBorder="1" applyAlignment="1">
      <alignment horizontal="left" vertical="center"/>
    </xf>
    <xf numFmtId="0" fontId="20" fillId="2" borderId="21" xfId="0" applyFont="1" applyFill="1" applyBorder="1" applyAlignment="1">
      <alignment horizontal="left" vertical="center"/>
    </xf>
    <xf numFmtId="0" fontId="20" fillId="2" borderId="22" xfId="0" applyFont="1" applyFill="1" applyBorder="1" applyAlignment="1">
      <alignment horizontal="left" vertical="center"/>
    </xf>
    <xf numFmtId="0" fontId="20" fillId="0" borderId="23" xfId="0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8" fillId="0" borderId="24" xfId="0" applyFont="1" applyBorder="1" applyAlignment="1">
      <alignment horizontal="left" vertical="center"/>
    </xf>
    <xf numFmtId="0" fontId="28" fillId="0" borderId="25" xfId="0" applyFont="1" applyBorder="1" applyAlignment="1">
      <alignment horizontal="left" vertical="center"/>
    </xf>
    <xf numFmtId="0" fontId="20" fillId="0" borderId="30" xfId="0" applyFont="1" applyBorder="1" applyAlignment="1">
      <alignment horizontal="right" vertical="center"/>
    </xf>
    <xf numFmtId="0" fontId="20" fillId="0" borderId="31" xfId="0" applyFont="1" applyBorder="1" applyAlignment="1">
      <alignment horizontal="right" vertical="center"/>
    </xf>
    <xf numFmtId="0" fontId="20" fillId="0" borderId="71" xfId="0" applyFont="1" applyBorder="1" applyAlignment="1">
      <alignment horizontal="right" vertical="center"/>
    </xf>
    <xf numFmtId="0" fontId="30" fillId="0" borderId="0" xfId="0" applyFont="1" applyAlignment="1" applyProtection="1">
      <alignment horizontal="center"/>
    </xf>
    <xf numFmtId="0" fontId="0" fillId="0" borderId="35" xfId="0" applyBorder="1" applyAlignment="1">
      <alignment horizontal="center" vertical="center" textRotation="90" wrapText="1"/>
    </xf>
    <xf numFmtId="0" fontId="0" fillId="0" borderId="34" xfId="0" applyBorder="1" applyAlignment="1">
      <alignment horizontal="center" vertical="center" textRotation="90" wrapText="1"/>
    </xf>
    <xf numFmtId="0" fontId="0" fillId="0" borderId="36" xfId="0" applyBorder="1" applyAlignment="1">
      <alignment horizontal="center" vertical="center" textRotation="90" wrapText="1"/>
    </xf>
    <xf numFmtId="0" fontId="9" fillId="0" borderId="35" xfId="0" applyFont="1" applyBorder="1" applyAlignment="1">
      <alignment horizontal="center" vertical="center" textRotation="90"/>
    </xf>
    <xf numFmtId="0" fontId="9" fillId="0" borderId="34" xfId="0" applyFont="1" applyBorder="1" applyAlignment="1">
      <alignment horizontal="center" vertical="center" textRotation="90"/>
    </xf>
    <xf numFmtId="0" fontId="9" fillId="0" borderId="36" xfId="0" applyFont="1" applyBorder="1" applyAlignment="1">
      <alignment horizontal="center" vertical="center" textRotation="90"/>
    </xf>
    <xf numFmtId="0" fontId="5" fillId="2" borderId="30" xfId="0" applyFont="1" applyFill="1" applyBorder="1" applyAlignment="1">
      <alignment horizontal="right" vertical="center"/>
    </xf>
    <xf numFmtId="0" fontId="5" fillId="2" borderId="31" xfId="0" applyFont="1" applyFill="1" applyBorder="1" applyAlignment="1">
      <alignment horizontal="right" vertical="center"/>
    </xf>
    <xf numFmtId="0" fontId="5" fillId="2" borderId="32" xfId="0" applyFont="1" applyFill="1" applyBorder="1" applyAlignment="1">
      <alignment horizontal="right" vertical="center"/>
    </xf>
    <xf numFmtId="0" fontId="5" fillId="0" borderId="31" xfId="0" applyFont="1" applyFill="1" applyBorder="1" applyAlignment="1">
      <alignment horizontal="center" vertical="center"/>
    </xf>
    <xf numFmtId="0" fontId="0" fillId="0" borderId="31" xfId="0" applyFill="1" applyBorder="1" applyAlignment="1"/>
    <xf numFmtId="0" fontId="1" fillId="3" borderId="30" xfId="0" applyFont="1" applyFill="1" applyBorder="1" applyAlignment="1">
      <alignment horizontal="right" vertical="center"/>
    </xf>
    <xf numFmtId="0" fontId="1" fillId="3" borderId="31" xfId="0" applyFont="1" applyFill="1" applyBorder="1" applyAlignment="1">
      <alignment horizontal="right" vertical="center"/>
    </xf>
    <xf numFmtId="0" fontId="1" fillId="3" borderId="32" xfId="0" applyFont="1" applyFill="1" applyBorder="1" applyAlignment="1">
      <alignment horizontal="right" vertical="center"/>
    </xf>
    <xf numFmtId="0" fontId="9" fillId="0" borderId="35" xfId="0" applyFont="1" applyBorder="1" applyAlignment="1" applyProtection="1">
      <alignment horizontal="center" vertical="center" textRotation="90"/>
    </xf>
    <xf numFmtId="0" fontId="9" fillId="0" borderId="34" xfId="0" applyFont="1" applyBorder="1" applyAlignment="1" applyProtection="1">
      <alignment horizontal="center" vertical="center" textRotation="90"/>
    </xf>
    <xf numFmtId="0" fontId="9" fillId="0" borderId="36" xfId="0" applyFont="1" applyBorder="1" applyAlignment="1" applyProtection="1">
      <alignment horizontal="center" vertical="center" textRotation="90"/>
    </xf>
    <xf numFmtId="0" fontId="4" fillId="3" borderId="30" xfId="0" applyFont="1" applyFill="1" applyBorder="1" applyAlignment="1">
      <alignment horizontal="right" vertical="center"/>
    </xf>
    <xf numFmtId="0" fontId="4" fillId="3" borderId="31" xfId="0" applyFont="1" applyFill="1" applyBorder="1" applyAlignment="1">
      <alignment horizontal="right" vertical="center"/>
    </xf>
    <xf numFmtId="0" fontId="4" fillId="3" borderId="32" xfId="0" applyFont="1" applyFill="1" applyBorder="1" applyAlignment="1">
      <alignment horizontal="right" vertical="center"/>
    </xf>
    <xf numFmtId="0" fontId="39" fillId="0" borderId="0" xfId="0" applyFont="1"/>
    <xf numFmtId="0" fontId="38" fillId="0" borderId="0" xfId="0" applyFont="1" applyAlignment="1">
      <alignment horizontal="center"/>
    </xf>
    <xf numFmtId="0" fontId="4" fillId="4" borderId="26" xfId="0" applyFont="1" applyFill="1" applyBorder="1" applyAlignment="1">
      <alignment horizontal="center" textRotation="90" wrapText="1"/>
    </xf>
    <xf numFmtId="0" fontId="4" fillId="4" borderId="27" xfId="0" applyFont="1" applyFill="1" applyBorder="1" applyAlignment="1">
      <alignment horizontal="center" textRotation="90" wrapText="1"/>
    </xf>
    <xf numFmtId="0" fontId="4" fillId="4" borderId="28" xfId="0" applyFont="1" applyFill="1" applyBorder="1" applyAlignment="1">
      <alignment horizontal="center" textRotation="90" wrapText="1"/>
    </xf>
    <xf numFmtId="0" fontId="4" fillId="4" borderId="29" xfId="0" applyFont="1" applyFill="1" applyBorder="1" applyAlignment="1">
      <alignment horizontal="center" textRotation="90" wrapText="1"/>
    </xf>
    <xf numFmtId="0" fontId="4" fillId="0" borderId="31" xfId="0" applyFon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4" fillId="4" borderId="26" xfId="0" applyFont="1" applyFill="1" applyBorder="1" applyAlignment="1">
      <alignment horizontal="justify" textRotation="90" wrapText="1"/>
    </xf>
    <xf numFmtId="0" fontId="4" fillId="4" borderId="27" xfId="0" applyFont="1" applyFill="1" applyBorder="1" applyAlignment="1">
      <alignment horizontal="justify" textRotation="90" wrapText="1"/>
    </xf>
    <xf numFmtId="0" fontId="4" fillId="4" borderId="28" xfId="0" applyFont="1" applyFill="1" applyBorder="1" applyAlignment="1">
      <alignment horizontal="justify" textRotation="90" wrapText="1"/>
    </xf>
    <xf numFmtId="0" fontId="4" fillId="4" borderId="29" xfId="0" applyFont="1" applyFill="1" applyBorder="1" applyAlignment="1">
      <alignment horizontal="justify" textRotation="90" wrapText="1"/>
    </xf>
    <xf numFmtId="0" fontId="47" fillId="0" borderId="26" xfId="0" applyFont="1" applyBorder="1" applyAlignment="1">
      <alignment horizontal="center" textRotation="90"/>
    </xf>
    <xf numFmtId="0" fontId="47" fillId="0" borderId="27" xfId="0" applyFont="1" applyBorder="1" applyAlignment="1">
      <alignment horizontal="center" textRotation="90"/>
    </xf>
    <xf numFmtId="0" fontId="47" fillId="0" borderId="53" xfId="0" applyFont="1" applyBorder="1" applyAlignment="1">
      <alignment horizontal="center" textRotation="90"/>
    </xf>
    <xf numFmtId="0" fontId="47" fillId="0" borderId="54" xfId="0" applyFont="1" applyBorder="1" applyAlignment="1">
      <alignment horizontal="center" textRotation="90"/>
    </xf>
    <xf numFmtId="0" fontId="4" fillId="4" borderId="30" xfId="0" applyFont="1" applyFill="1" applyBorder="1" applyAlignment="1">
      <alignment horizontal="center" vertical="center" wrapText="1"/>
    </xf>
    <xf numFmtId="0" fontId="4" fillId="4" borderId="3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 vertical="center" wrapText="1"/>
    </xf>
    <xf numFmtId="0" fontId="1" fillId="4" borderId="37" xfId="0" applyFont="1" applyFill="1" applyBorder="1" applyAlignment="1">
      <alignment horizontal="center" textRotation="90" wrapText="1"/>
    </xf>
    <xf numFmtId="0" fontId="1" fillId="4" borderId="38" xfId="0" applyFont="1" applyFill="1" applyBorder="1" applyAlignment="1">
      <alignment horizontal="center" textRotation="90" wrapText="1"/>
    </xf>
    <xf numFmtId="0" fontId="4" fillId="3" borderId="26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horizontal="right" vertical="center"/>
    </xf>
    <xf numFmtId="0" fontId="4" fillId="3" borderId="27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textRotation="90" wrapText="1"/>
    </xf>
    <xf numFmtId="0" fontId="6" fillId="0" borderId="33" xfId="0" applyFont="1" applyBorder="1" applyAlignment="1">
      <alignment horizontal="center" vertical="center" textRotation="90" wrapText="1"/>
    </xf>
    <xf numFmtId="0" fontId="4" fillId="0" borderId="37" xfId="0" applyFont="1" applyBorder="1" applyAlignment="1">
      <alignment horizontal="center" vertical="center" wrapText="1"/>
    </xf>
    <xf numFmtId="0" fontId="6" fillId="0" borderId="65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66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textRotation="90"/>
    </xf>
    <xf numFmtId="0" fontId="6" fillId="0" borderId="33" xfId="0" applyFont="1" applyBorder="1" applyAlignment="1">
      <alignment horizontal="center" vertical="center" textRotation="90"/>
    </xf>
    <xf numFmtId="0" fontId="6" fillId="0" borderId="66" xfId="0" applyFont="1" applyBorder="1" applyAlignment="1">
      <alignment horizontal="center" vertical="center" textRotation="90"/>
    </xf>
    <xf numFmtId="0" fontId="6" fillId="0" borderId="66" xfId="0" applyFont="1" applyBorder="1" applyAlignment="1">
      <alignment horizontal="center" vertical="center" textRotation="90" wrapText="1"/>
    </xf>
    <xf numFmtId="0" fontId="9" fillId="0" borderId="35" xfId="0" applyFont="1" applyBorder="1" applyAlignment="1">
      <alignment vertical="center" textRotation="90"/>
    </xf>
    <xf numFmtId="0" fontId="9" fillId="0" borderId="34" xfId="0" applyFont="1" applyBorder="1" applyAlignment="1">
      <alignment vertical="center" textRotation="90"/>
    </xf>
    <xf numFmtId="0" fontId="4" fillId="0" borderId="13" xfId="0" applyFont="1" applyBorder="1" applyAlignment="1" applyProtection="1">
      <alignment horizontal="center" vertical="center"/>
    </xf>
    <xf numFmtId="0" fontId="4" fillId="0" borderId="31" xfId="0" applyFont="1" applyBorder="1" applyAlignment="1" applyProtection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50" xfId="0" applyFont="1" applyBorder="1" applyAlignment="1" applyProtection="1">
      <alignment horizontal="center"/>
      <protection locked="0"/>
    </xf>
    <xf numFmtId="0" fontId="20" fillId="0" borderId="13" xfId="0" applyFont="1" applyBorder="1" applyAlignment="1">
      <alignment horizontal="left" vertical="center"/>
    </xf>
    <xf numFmtId="0" fontId="20" fillId="0" borderId="13" xfId="0" applyFont="1" applyBorder="1" applyAlignment="1">
      <alignment horizontal="left"/>
    </xf>
    <xf numFmtId="0" fontId="5" fillId="0" borderId="14" xfId="0" applyFont="1" applyBorder="1" applyAlignment="1">
      <alignment horizontal="center" vertical="center"/>
    </xf>
    <xf numFmtId="0" fontId="8" fillId="0" borderId="5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52" xfId="0" applyFont="1" applyBorder="1" applyAlignment="1" applyProtection="1">
      <alignment horizontal="left" vertical="top" wrapText="1"/>
      <protection locked="0"/>
    </xf>
    <xf numFmtId="0" fontId="7" fillId="0" borderId="47" xfId="0" applyFont="1" applyBorder="1" applyAlignment="1" applyProtection="1">
      <alignment horizontal="left" vertical="top" wrapText="1"/>
      <protection locked="0"/>
    </xf>
    <xf numFmtId="0" fontId="7" fillId="0" borderId="21" xfId="0" applyFont="1" applyBorder="1" applyAlignment="1" applyProtection="1">
      <alignment horizontal="left" vertical="top" wrapText="1"/>
      <protection locked="0"/>
    </xf>
    <xf numFmtId="0" fontId="7" fillId="0" borderId="22" xfId="0" applyFont="1" applyBorder="1" applyAlignment="1" applyProtection="1">
      <alignment horizontal="left" vertical="top" wrapText="1"/>
      <protection locked="0"/>
    </xf>
    <xf numFmtId="0" fontId="4" fillId="0" borderId="15" xfId="0" applyFont="1" applyBorder="1" applyAlignment="1" applyProtection="1">
      <alignment horizontal="center"/>
      <protection locked="0"/>
    </xf>
    <xf numFmtId="0" fontId="6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7" fillId="0" borderId="0" xfId="0" applyFont="1"/>
    <xf numFmtId="0" fontId="68" fillId="0" borderId="0" xfId="0" applyFont="1" applyAlignment="1">
      <alignment vertical="center"/>
    </xf>
    <xf numFmtId="0" fontId="69" fillId="0" borderId="0" xfId="0" applyFont="1" applyAlignment="1">
      <alignment horizontal="center" vertical="center"/>
    </xf>
  </cellXfs>
  <cellStyles count="5">
    <cellStyle name="Обычный" xfId="0" builtinId="0"/>
    <cellStyle name="Обычный_104-2" xfId="2"/>
    <cellStyle name="Обычный_1-2курс,6-7" xfId="4"/>
    <cellStyle name="Обычный_Новый заоч." xfId="1"/>
    <cellStyle name="Обычный_плани_заоч_10-11-рабочии" xfId="3"/>
  </cellStyles>
  <dxfs count="31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ill>
        <patternFill>
          <bgColor rgb="FFFF66FF"/>
        </patternFill>
      </fill>
    </dxf>
    <dxf>
      <fill>
        <patternFill>
          <bgColor rgb="FFFF33CC"/>
        </patternFill>
      </fill>
    </dxf>
    <dxf>
      <fill>
        <patternFill>
          <bgColor rgb="FFF824F8"/>
        </patternFill>
      </fill>
    </dxf>
  </dxfs>
  <tableStyles count="0" defaultTableStyle="TableStyleMedium2" defaultPivotStyle="PivotStyleLight16"/>
  <colors>
    <mruColors>
      <color rgb="FFFF33CC"/>
      <color rgb="FFF824F8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26096</xdr:colOff>
      <xdr:row>0</xdr:row>
      <xdr:rowOff>13048</xdr:rowOff>
    </xdr:from>
    <xdr:to>
      <xdr:col>2</xdr:col>
      <xdr:colOff>1905000</xdr:colOff>
      <xdr:row>0</xdr:row>
      <xdr:rowOff>665445</xdr:rowOff>
    </xdr:to>
    <xdr:sp macro="" textlink="">
      <xdr:nvSpPr>
        <xdr:cNvPr id="2" name="Прямоугольник 1"/>
        <xdr:cNvSpPr/>
      </xdr:nvSpPr>
      <xdr:spPr>
        <a:xfrm>
          <a:off x="26096" y="13048"/>
          <a:ext cx="13700342" cy="652397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800" b="1">
              <a:latin typeface="Arial" pitchFamily="34" charset="0"/>
              <a:cs typeface="Arial" pitchFamily="34" charset="0"/>
            </a:rPr>
            <a:t>ОБЕРІТЬ</a:t>
          </a:r>
          <a:r>
            <a:rPr lang="ru-RU" sz="2800" b="1" baseline="0">
              <a:latin typeface="Arial" pitchFamily="34" charset="0"/>
              <a:cs typeface="Arial" pitchFamily="34" charset="0"/>
            </a:rPr>
            <a:t> ПОВНУ АБО ЧАСТКОВУ НАЗВУ ВИДУ МЕТОДИЧНОЇ РОБОТИ</a:t>
          </a:r>
          <a:endParaRPr lang="ru-RU" sz="28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</xdr:colOff>
      <xdr:row>0</xdr:row>
      <xdr:rowOff>68036</xdr:rowOff>
    </xdr:from>
    <xdr:to>
      <xdr:col>4</xdr:col>
      <xdr:colOff>54428</xdr:colOff>
      <xdr:row>0</xdr:row>
      <xdr:rowOff>777875</xdr:rowOff>
    </xdr:to>
    <xdr:sp macro="" textlink="">
      <xdr:nvSpPr>
        <xdr:cNvPr id="2" name="Прямоугольник 1"/>
        <xdr:cNvSpPr/>
      </xdr:nvSpPr>
      <xdr:spPr>
        <a:xfrm>
          <a:off x="40821" y="68036"/>
          <a:ext cx="13459732" cy="709839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800" b="1">
              <a:latin typeface="Arial" pitchFamily="34" charset="0"/>
              <a:cs typeface="Arial" pitchFamily="34" charset="0"/>
            </a:rPr>
            <a:t>ОБЕРІТЬ</a:t>
          </a:r>
          <a:r>
            <a:rPr lang="ru-RU" sz="2800" b="1" baseline="0">
              <a:latin typeface="Arial" pitchFamily="34" charset="0"/>
              <a:cs typeface="Arial" pitchFamily="34" charset="0"/>
            </a:rPr>
            <a:t> ПОВНУ АБО ЧАСТКОВУ НАЗВУ ВИДУ НАУКОВОЇ РОБОТИ</a:t>
          </a:r>
          <a:endParaRPr lang="ru-RU" sz="28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11907</xdr:colOff>
      <xdr:row>0</xdr:row>
      <xdr:rowOff>1</xdr:rowOff>
    </xdr:from>
    <xdr:to>
      <xdr:col>4</xdr:col>
      <xdr:colOff>119063</xdr:colOff>
      <xdr:row>0</xdr:row>
      <xdr:rowOff>976313</xdr:rowOff>
    </xdr:to>
    <xdr:sp macro="" textlink="">
      <xdr:nvSpPr>
        <xdr:cNvPr id="2" name="Прямоугольник 1"/>
        <xdr:cNvSpPr/>
      </xdr:nvSpPr>
      <xdr:spPr>
        <a:xfrm>
          <a:off x="11907" y="1"/>
          <a:ext cx="13501687" cy="976312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800" b="1">
              <a:latin typeface="Arial" pitchFamily="34" charset="0"/>
              <a:cs typeface="Arial" pitchFamily="34" charset="0"/>
            </a:rPr>
            <a:t>ОБЕРІТЬ</a:t>
          </a:r>
          <a:r>
            <a:rPr lang="ru-RU" sz="2800" b="1" baseline="0">
              <a:latin typeface="Arial" pitchFamily="34" charset="0"/>
              <a:cs typeface="Arial" pitchFamily="34" charset="0"/>
            </a:rPr>
            <a:t> ПОВНУ АБО ЧАСТКОВУ НАЗВУ ВИДУ  ОРГАНІЗАЦІЙНОЇ РОБОТИ</a:t>
          </a:r>
          <a:endParaRPr lang="ru-RU" sz="28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6" tint="-0.249977111117893"/>
  </sheetPr>
  <dimension ref="A1:O40"/>
  <sheetViews>
    <sheetView tabSelected="1" view="pageBreakPreview" topLeftCell="A14" zoomScaleNormal="100" zoomScaleSheetLayoutView="100" workbookViewId="0">
      <selection activeCell="G31" sqref="G31"/>
    </sheetView>
  </sheetViews>
  <sheetFormatPr defaultRowHeight="12.75" x14ac:dyDescent="0.2"/>
  <cols>
    <col min="1" max="1" width="15.42578125" style="1" customWidth="1"/>
    <col min="2" max="2" width="17.5703125" style="1" customWidth="1"/>
    <col min="3" max="3" width="18.85546875" style="1" customWidth="1"/>
    <col min="4" max="4" width="15.5703125" style="1" customWidth="1"/>
    <col min="5" max="5" width="16" style="1" customWidth="1"/>
    <col min="6" max="6" width="12" style="1" customWidth="1"/>
    <col min="7" max="7" width="10.28515625" style="1" customWidth="1"/>
    <col min="8" max="8" width="12.28515625" style="1" hidden="1" customWidth="1"/>
    <col min="9" max="10" width="12.28515625" style="60" hidden="1" customWidth="1"/>
    <col min="11" max="11" width="12.28515625" style="61" hidden="1" customWidth="1"/>
    <col min="12" max="12" width="49" style="61" hidden="1" customWidth="1"/>
    <col min="13" max="13" width="12.140625" style="89" customWidth="1"/>
    <col min="14" max="14" width="76" style="89" customWidth="1"/>
    <col min="15" max="24" width="18.42578125" style="1" customWidth="1"/>
    <col min="25" max="16384" width="9.140625" style="1"/>
  </cols>
  <sheetData>
    <row r="1" spans="1:15" ht="61.5" customHeight="1" x14ac:dyDescent="0.3">
      <c r="A1" s="321" t="s">
        <v>29</v>
      </c>
      <c r="B1" s="321"/>
      <c r="C1" s="321"/>
      <c r="D1" s="321"/>
      <c r="E1" s="321"/>
      <c r="F1" s="321"/>
      <c r="G1" s="321"/>
      <c r="H1" s="10"/>
      <c r="I1" s="63"/>
      <c r="J1" s="63"/>
      <c r="K1" s="64"/>
      <c r="L1" s="64"/>
      <c r="M1" s="87"/>
      <c r="N1" s="87"/>
      <c r="O1" s="63"/>
    </row>
    <row r="2" spans="1:15" s="62" customFormat="1" ht="17.25" customHeight="1" x14ac:dyDescent="0.2">
      <c r="H2" s="61" t="e">
        <f>VLOOKUP(B9,#REF!,2,FALSE)</f>
        <v>#REF!</v>
      </c>
      <c r="I2" s="60" t="e">
        <f>VLOOKUP(H2,#REF!,2,FALSE)</f>
        <v>#REF!</v>
      </c>
      <c r="J2" s="62">
        <v>1</v>
      </c>
      <c r="K2" s="61" t="s">
        <v>78</v>
      </c>
      <c r="L2" s="61" t="str">
        <f t="shared" ref="L2:L7" si="0">IFERROR(I2," ")</f>
        <v xml:space="preserve"> </v>
      </c>
      <c r="M2" s="88"/>
      <c r="N2" s="88"/>
    </row>
    <row r="3" spans="1:15" s="62" customFormat="1" ht="17.25" customHeight="1" x14ac:dyDescent="0.2">
      <c r="H3" s="61" t="e">
        <f>H2+1</f>
        <v>#REF!</v>
      </c>
      <c r="I3" s="60" t="e">
        <f>VLOOKUP(H3,#REF!,2,FALSE)</f>
        <v>#REF!</v>
      </c>
      <c r="J3" s="62">
        <v>0.75</v>
      </c>
      <c r="K3" s="61" t="s">
        <v>81</v>
      </c>
      <c r="L3" s="61" t="str">
        <f t="shared" si="0"/>
        <v xml:space="preserve"> </v>
      </c>
      <c r="M3" s="88"/>
      <c r="N3" s="88"/>
    </row>
    <row r="4" spans="1:15" s="62" customFormat="1" ht="17.25" customHeight="1" x14ac:dyDescent="0.2">
      <c r="H4" s="61" t="e">
        <f t="shared" ref="H4:H8" si="1">H3+1</f>
        <v>#REF!</v>
      </c>
      <c r="I4" s="60" t="e">
        <f>VLOOKUP(H4,#REF!,2,FALSE)</f>
        <v>#REF!</v>
      </c>
      <c r="J4" s="62">
        <v>0.5</v>
      </c>
      <c r="K4" s="61" t="s">
        <v>82</v>
      </c>
      <c r="L4" s="61" t="str">
        <f t="shared" si="0"/>
        <v xml:space="preserve"> </v>
      </c>
      <c r="M4" s="88"/>
      <c r="N4" s="88"/>
    </row>
    <row r="5" spans="1:15" s="62" customFormat="1" ht="17.25" customHeight="1" x14ac:dyDescent="0.2">
      <c r="H5" s="61" t="e">
        <f t="shared" si="1"/>
        <v>#REF!</v>
      </c>
      <c r="I5" s="60" t="e">
        <f>VLOOKUP(H5,#REF!,2,FALSE)</f>
        <v>#REF!</v>
      </c>
      <c r="J5" s="62">
        <v>0.25</v>
      </c>
      <c r="K5" s="61" t="s">
        <v>83</v>
      </c>
      <c r="L5" s="61" t="str">
        <f t="shared" si="0"/>
        <v xml:space="preserve"> </v>
      </c>
      <c r="M5" s="88"/>
      <c r="N5" s="88"/>
    </row>
    <row r="6" spans="1:15" s="62" customFormat="1" ht="17.25" customHeight="1" x14ac:dyDescent="0.2">
      <c r="H6" s="61" t="e">
        <f t="shared" si="1"/>
        <v>#REF!</v>
      </c>
      <c r="I6" s="60" t="e">
        <f>VLOOKUP(H6,#REF!,2,FALSE)</f>
        <v>#REF!</v>
      </c>
      <c r="K6" s="61"/>
      <c r="L6" s="61" t="str">
        <f t="shared" si="0"/>
        <v xml:space="preserve"> </v>
      </c>
      <c r="M6" s="88"/>
      <c r="N6" s="88"/>
    </row>
    <row r="7" spans="1:15" s="62" customFormat="1" ht="17.25" customHeight="1" x14ac:dyDescent="0.2">
      <c r="H7" s="61" t="e">
        <f t="shared" si="1"/>
        <v>#REF!</v>
      </c>
      <c r="I7" s="60" t="e">
        <f>VLOOKUP(H7,#REF!,2,FALSE)</f>
        <v>#REF!</v>
      </c>
      <c r="K7" s="61"/>
      <c r="L7" s="61" t="str">
        <f t="shared" si="0"/>
        <v xml:space="preserve"> </v>
      </c>
      <c r="M7" s="88"/>
      <c r="N7" s="88"/>
    </row>
    <row r="8" spans="1:15" s="62" customFormat="1" ht="17.25" customHeight="1" x14ac:dyDescent="0.2">
      <c r="H8" s="61" t="e">
        <f t="shared" si="1"/>
        <v>#REF!</v>
      </c>
      <c r="I8" s="60" t="e">
        <f>VLOOKUP(H8,#REF!,2,FALSE)</f>
        <v>#REF!</v>
      </c>
      <c r="K8" s="61"/>
      <c r="L8" s="61" t="str">
        <f>IFERROR(I8," ")</f>
        <v xml:space="preserve"> </v>
      </c>
      <c r="M8" s="317" t="s">
        <v>84</v>
      </c>
      <c r="N8" s="318" t="s">
        <v>85</v>
      </c>
    </row>
    <row r="9" spans="1:15" ht="20.25" x14ac:dyDescent="0.2">
      <c r="A9" s="37" t="s">
        <v>76</v>
      </c>
      <c r="B9" s="326"/>
      <c r="C9" s="326"/>
      <c r="D9" s="326"/>
      <c r="E9" s="326"/>
      <c r="F9" s="326"/>
      <c r="G9" s="76"/>
      <c r="M9" s="317"/>
      <c r="N9" s="318"/>
      <c r="O9" s="62"/>
    </row>
    <row r="10" spans="1:15" ht="5.25" customHeight="1" x14ac:dyDescent="0.45">
      <c r="A10" s="12"/>
      <c r="B10" s="78"/>
      <c r="C10" s="78"/>
      <c r="D10" s="78"/>
      <c r="E10" s="78"/>
      <c r="F10" s="78"/>
      <c r="G10" s="77"/>
      <c r="M10" s="254"/>
      <c r="N10" s="255"/>
      <c r="O10" s="62"/>
    </row>
    <row r="11" spans="1:15" ht="6.75" customHeight="1" x14ac:dyDescent="0.45">
      <c r="A11" s="325" t="s">
        <v>77</v>
      </c>
      <c r="B11" s="78"/>
      <c r="C11" s="79"/>
      <c r="D11" s="79"/>
      <c r="E11" s="79"/>
      <c r="F11" s="79"/>
      <c r="G11" s="75"/>
      <c r="M11" s="254"/>
      <c r="N11" s="255"/>
      <c r="O11" s="62"/>
    </row>
    <row r="12" spans="1:15" ht="39" customHeight="1" x14ac:dyDescent="0.3">
      <c r="A12" s="325"/>
      <c r="B12" s="327" t="s">
        <v>451</v>
      </c>
      <c r="C12" s="327"/>
      <c r="D12" s="327"/>
      <c r="E12" s="327"/>
      <c r="F12" s="327"/>
      <c r="G12" s="75"/>
      <c r="M12" s="319" t="s">
        <v>84</v>
      </c>
      <c r="N12" s="318" t="s">
        <v>85</v>
      </c>
      <c r="O12" s="62"/>
    </row>
    <row r="13" spans="1:15" x14ac:dyDescent="0.2">
      <c r="M13" s="319"/>
      <c r="N13" s="318"/>
      <c r="O13" s="62"/>
    </row>
    <row r="14" spans="1:15" x14ac:dyDescent="0.2">
      <c r="N14" s="88"/>
      <c r="O14" s="62"/>
    </row>
    <row r="15" spans="1:15" x14ac:dyDescent="0.2">
      <c r="N15" s="88"/>
      <c r="O15" s="62"/>
    </row>
    <row r="16" spans="1:15" x14ac:dyDescent="0.2">
      <c r="N16" s="88"/>
      <c r="O16" s="62"/>
    </row>
    <row r="17" spans="1:15" x14ac:dyDescent="0.2">
      <c r="N17" s="88"/>
      <c r="O17" s="62"/>
    </row>
    <row r="18" spans="1:15" ht="62.25" customHeight="1" x14ac:dyDescent="0.2">
      <c r="N18" s="88"/>
      <c r="O18" s="62"/>
    </row>
    <row r="19" spans="1:15" s="13" customFormat="1" ht="30.75" x14ac:dyDescent="0.45">
      <c r="A19" s="322" t="s">
        <v>0</v>
      </c>
      <c r="B19" s="322"/>
      <c r="C19" s="322"/>
      <c r="D19" s="322"/>
      <c r="E19" s="322"/>
      <c r="F19" s="322"/>
      <c r="G19" s="322"/>
      <c r="I19" s="67"/>
      <c r="J19" s="67"/>
      <c r="K19" s="65"/>
      <c r="L19" s="65"/>
      <c r="M19" s="90"/>
      <c r="N19" s="88"/>
      <c r="O19" s="62"/>
    </row>
    <row r="20" spans="1:15" s="14" customFormat="1" ht="18" customHeight="1" x14ac:dyDescent="0.3">
      <c r="A20" s="323" t="s">
        <v>1</v>
      </c>
      <c r="B20" s="323"/>
      <c r="C20" s="323"/>
      <c r="D20" s="323"/>
      <c r="E20" s="323"/>
      <c r="F20" s="323"/>
      <c r="G20" s="323"/>
      <c r="I20" s="68"/>
      <c r="J20" s="68"/>
      <c r="K20" s="66"/>
      <c r="L20" s="66"/>
      <c r="M20" s="91"/>
      <c r="N20" s="88"/>
      <c r="O20" s="62"/>
    </row>
    <row r="21" spans="1:15" ht="18" customHeight="1" x14ac:dyDescent="0.2">
      <c r="A21" s="3"/>
      <c r="B21" s="3"/>
      <c r="C21" s="3"/>
      <c r="D21" s="3"/>
      <c r="E21" s="3"/>
      <c r="F21" s="3"/>
      <c r="G21" s="3"/>
      <c r="N21" s="88"/>
      <c r="O21" s="62"/>
    </row>
    <row r="22" spans="1:15" ht="18" customHeight="1" x14ac:dyDescent="0.2">
      <c r="A22" s="3"/>
      <c r="B22" s="3"/>
      <c r="C22" s="3"/>
      <c r="D22" s="3"/>
      <c r="E22" s="3"/>
      <c r="F22" s="3"/>
      <c r="G22" s="3"/>
      <c r="N22" s="88"/>
      <c r="O22" s="62"/>
    </row>
    <row r="23" spans="1:15" ht="18" customHeight="1" x14ac:dyDescent="0.2">
      <c r="A23" s="3"/>
      <c r="B23" s="3"/>
      <c r="C23" s="3"/>
      <c r="D23" s="3"/>
      <c r="E23" s="3"/>
      <c r="F23" s="3"/>
      <c r="G23" s="3"/>
      <c r="N23" s="88"/>
      <c r="O23" s="62"/>
    </row>
    <row r="24" spans="1:15" ht="25.5" x14ac:dyDescent="0.2">
      <c r="A24" s="324"/>
      <c r="B24" s="324"/>
      <c r="C24" s="324"/>
      <c r="D24" s="324"/>
      <c r="E24" s="324"/>
      <c r="F24" s="324"/>
      <c r="G24" s="324"/>
      <c r="M24" s="319" t="s">
        <v>84</v>
      </c>
      <c r="N24" s="318" t="s">
        <v>86</v>
      </c>
      <c r="O24" s="62"/>
    </row>
    <row r="25" spans="1:15" x14ac:dyDescent="0.2">
      <c r="A25" s="320" t="s">
        <v>6</v>
      </c>
      <c r="B25" s="320"/>
      <c r="C25" s="320"/>
      <c r="D25" s="320"/>
      <c r="E25" s="320"/>
      <c r="F25" s="320"/>
      <c r="G25" s="320"/>
      <c r="M25" s="319"/>
      <c r="N25" s="318"/>
      <c r="O25" s="62"/>
    </row>
    <row r="26" spans="1:15" x14ac:dyDescent="0.2">
      <c r="A26" s="17"/>
      <c r="B26" s="17"/>
      <c r="C26" s="17"/>
      <c r="D26" s="17"/>
      <c r="E26" s="17"/>
      <c r="F26" s="58"/>
      <c r="G26" s="17"/>
      <c r="N26" s="88"/>
      <c r="O26" s="62"/>
    </row>
    <row r="27" spans="1:15" x14ac:dyDescent="0.2">
      <c r="A27" s="17"/>
      <c r="B27" s="17"/>
      <c r="C27" s="17"/>
      <c r="D27" s="17"/>
      <c r="E27" s="17"/>
      <c r="F27" s="58"/>
      <c r="G27" s="17"/>
      <c r="N27" s="88"/>
      <c r="O27" s="62"/>
    </row>
    <row r="28" spans="1:15" ht="21.75" customHeight="1" x14ac:dyDescent="0.2">
      <c r="A28" s="17"/>
      <c r="B28" s="252" t="s">
        <v>447</v>
      </c>
      <c r="C28" s="276"/>
      <c r="D28" s="252" t="s">
        <v>448</v>
      </c>
      <c r="E28" s="276"/>
      <c r="F28" s="58"/>
      <c r="G28" s="17"/>
      <c r="N28" s="88"/>
      <c r="O28" s="62"/>
    </row>
    <row r="29" spans="1:15" x14ac:dyDescent="0.2">
      <c r="A29" s="7"/>
      <c r="B29" s="7"/>
      <c r="C29" s="7"/>
      <c r="D29" s="7"/>
      <c r="E29" s="7"/>
      <c r="F29" s="57"/>
      <c r="G29" s="7"/>
      <c r="N29" s="88"/>
      <c r="O29" s="62"/>
    </row>
    <row r="30" spans="1:15" x14ac:dyDescent="0.2">
      <c r="A30" s="7"/>
      <c r="B30" s="7"/>
      <c r="C30" s="7"/>
      <c r="D30" s="7"/>
      <c r="E30" s="7"/>
      <c r="F30" s="57"/>
      <c r="G30" s="7"/>
      <c r="N30" s="88"/>
      <c r="O30" s="62"/>
    </row>
    <row r="31" spans="1:15" ht="24.75" customHeight="1" x14ac:dyDescent="0.2">
      <c r="A31" s="7"/>
      <c r="B31" s="7"/>
      <c r="C31" s="7"/>
      <c r="D31" s="7"/>
      <c r="E31" s="7"/>
      <c r="F31" s="57"/>
      <c r="G31" s="7"/>
      <c r="N31" s="88"/>
      <c r="O31" s="62"/>
    </row>
    <row r="32" spans="1:15" x14ac:dyDescent="0.2">
      <c r="N32" s="88"/>
      <c r="O32" s="62"/>
    </row>
    <row r="33" spans="1:15" ht="48.75" customHeight="1" x14ac:dyDescent="0.2">
      <c r="A33" s="8" t="s">
        <v>7</v>
      </c>
      <c r="B33" s="8" t="s">
        <v>8</v>
      </c>
      <c r="C33" s="8" t="s">
        <v>9</v>
      </c>
      <c r="D33" s="8" t="s">
        <v>80</v>
      </c>
      <c r="E33" s="11" t="s">
        <v>74</v>
      </c>
      <c r="F33" s="313" t="s">
        <v>4</v>
      </c>
      <c r="G33" s="314"/>
      <c r="N33" s="88"/>
      <c r="O33" s="62"/>
    </row>
    <row r="34" spans="1:15" ht="39.75" customHeight="1" x14ac:dyDescent="0.2">
      <c r="A34" s="80"/>
      <c r="B34" s="80"/>
      <c r="C34" s="80"/>
      <c r="D34" s="92"/>
      <c r="E34" s="80"/>
      <c r="F34" s="315"/>
      <c r="G34" s="316"/>
      <c r="M34" s="319" t="s">
        <v>84</v>
      </c>
      <c r="N34" s="263" t="s">
        <v>87</v>
      </c>
    </row>
    <row r="35" spans="1:15" ht="12.75" customHeight="1" x14ac:dyDescent="0.2">
      <c r="M35" s="319"/>
      <c r="N35" s="263"/>
    </row>
    <row r="36" spans="1:15" ht="33.75" customHeight="1" x14ac:dyDescent="0.5">
      <c r="M36" s="253"/>
      <c r="N36" s="262" t="s">
        <v>88</v>
      </c>
    </row>
    <row r="37" spans="1:15" ht="35.25" hidden="1" x14ac:dyDescent="0.5">
      <c r="M37" s="253"/>
      <c r="N37" s="262"/>
    </row>
    <row r="38" spans="1:15" ht="0.75" customHeight="1" x14ac:dyDescent="0.5">
      <c r="M38" s="253"/>
      <c r="N38" s="253"/>
    </row>
    <row r="39" spans="1:15" hidden="1" x14ac:dyDescent="0.2"/>
    <row r="40" spans="1:15" hidden="1" x14ac:dyDescent="0.2"/>
  </sheetData>
  <sheetProtection formatCells="0" selectLockedCells="1"/>
  <mergeCells count="17">
    <mergeCell ref="A1:G1"/>
    <mergeCell ref="A19:G19"/>
    <mergeCell ref="A20:G20"/>
    <mergeCell ref="A24:G24"/>
    <mergeCell ref="A11:A12"/>
    <mergeCell ref="B9:F9"/>
    <mergeCell ref="B12:F12"/>
    <mergeCell ref="F33:G33"/>
    <mergeCell ref="F34:G34"/>
    <mergeCell ref="M8:M9"/>
    <mergeCell ref="N8:N9"/>
    <mergeCell ref="M12:M13"/>
    <mergeCell ref="N12:N13"/>
    <mergeCell ref="M24:M25"/>
    <mergeCell ref="N24:N25"/>
    <mergeCell ref="M34:M35"/>
    <mergeCell ref="A25:G25"/>
  </mergeCells>
  <phoneticPr fontId="0" type="noConversion"/>
  <conditionalFormatting sqref="C28 E28">
    <cfRule type="cellIs" dxfId="30" priority="3" operator="equal">
      <formula>0</formula>
    </cfRule>
  </conditionalFormatting>
  <conditionalFormatting sqref="C34">
    <cfRule type="cellIs" dxfId="29" priority="2" operator="equal">
      <formula>0</formula>
    </cfRule>
  </conditionalFormatting>
  <conditionalFormatting sqref="A24:G24">
    <cfRule type="cellIs" dxfId="28" priority="1" operator="equal">
      <formula>0</formula>
    </cfRule>
  </conditionalFormatting>
  <dataValidations count="3">
    <dataValidation type="list" allowBlank="1" showInputMessage="1" showErrorMessage="1" sqref="C11:G11">
      <formula1>$I$2:$I$8</formula1>
    </dataValidation>
    <dataValidation type="list" allowBlank="1" showInputMessage="1" showErrorMessage="1" sqref="E34">
      <formula1>$J$1:$J$5</formula1>
    </dataValidation>
    <dataValidation type="list" allowBlank="1" showInputMessage="1" showErrorMessage="1" sqref="A34">
      <formula1>$K$1:$K$5</formula1>
    </dataValidation>
  </dataValidations>
  <printOptions horizontalCentered="1"/>
  <pageMargins left="0.39370078740157483" right="0.39370078740157483" top="0.47244094488188981" bottom="0.47244094488188981" header="0" footer="0"/>
  <pageSetup paperSize="9" scale="90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'СПИСКИ (пароль 123)'!$E$2:$E$37</xm:f>
          </x14:formula1>
          <xm:sqref>B12:F12</xm:sqref>
        </x14:dataValidation>
        <x14:dataValidation type="list" allowBlank="1" showInputMessage="1" showErrorMessage="1">
          <x14:formula1>
            <xm:f>'СПИСКИ (пароль 123)'!$G$2:$G$7</xm:f>
          </x14:formula1>
          <xm:sqref>B34</xm:sqref>
        </x14:dataValidation>
        <x14:dataValidation type="list" allowBlank="1" showInputMessage="1" showErrorMessage="1">
          <x14:formula1>
            <xm:f>'СПИСКИ (пароль 123)'!$H$2:$H$6</xm:f>
          </x14:formula1>
          <xm:sqref>D34</xm:sqref>
        </x14:dataValidation>
        <x14:dataValidation type="list" allowBlank="1" showInputMessage="1" showErrorMessage="1">
          <x14:formula1>
            <xm:f>'СПИСКИ (пароль 123)'!$I$2:$I$4</xm:f>
          </x14:formula1>
          <xm:sqref>F34:G34</xm:sqref>
        </x14:dataValidation>
        <x14:dataValidation type="list" allowBlank="1" showInputMessage="1" showErrorMessage="1">
          <x14:formula1>
            <xm:f>'СПИСКИ (пароль 123)'!$A$2:$A$9</xm:f>
          </x14:formula1>
          <xm:sqref>B9:F9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6" tint="-0.249977111117893"/>
  </sheetPr>
  <dimension ref="A1:G36"/>
  <sheetViews>
    <sheetView showZeros="0" view="pageBreakPreview" topLeftCell="A19" zoomScale="90" zoomScaleNormal="100" zoomScaleSheetLayoutView="90" workbookViewId="0">
      <selection activeCell="D15" sqref="D15"/>
    </sheetView>
  </sheetViews>
  <sheetFormatPr defaultRowHeight="12.75" x14ac:dyDescent="0.2"/>
  <cols>
    <col min="1" max="1" width="15.42578125" style="1" customWidth="1"/>
    <col min="2" max="2" width="22.7109375" style="1" customWidth="1"/>
    <col min="3" max="3" width="17.5703125" style="1" customWidth="1"/>
    <col min="4" max="5" width="15.7109375" style="1" customWidth="1"/>
    <col min="6" max="6" width="8.140625" style="1" customWidth="1"/>
    <col min="7" max="7" width="75.28515625" style="1" customWidth="1"/>
    <col min="8" max="8" width="14.7109375" style="1" customWidth="1"/>
    <col min="9" max="16384" width="9.140625" style="1"/>
  </cols>
  <sheetData>
    <row r="1" spans="1:7" ht="12.75" customHeight="1" x14ac:dyDescent="0.2">
      <c r="C1" s="330"/>
      <c r="D1" s="331"/>
      <c r="E1" s="331"/>
      <c r="F1" s="10"/>
    </row>
    <row r="2" spans="1:7" ht="57" customHeight="1" x14ac:dyDescent="0.2">
      <c r="C2" s="331"/>
      <c r="D2" s="331"/>
      <c r="E2" s="331"/>
      <c r="F2" s="85">
        <f>ТИТУЛ!E34*1548</f>
        <v>0</v>
      </c>
      <c r="G2" s="86" t="s">
        <v>90</v>
      </c>
    </row>
    <row r="3" spans="1:7" x14ac:dyDescent="0.2">
      <c r="B3" s="332"/>
      <c r="C3" s="333"/>
      <c r="D3" s="333"/>
      <c r="E3" s="333"/>
      <c r="F3" s="10"/>
    </row>
    <row r="4" spans="1:7" ht="66" customHeight="1" x14ac:dyDescent="0.3">
      <c r="A4" s="334"/>
      <c r="B4" s="334"/>
      <c r="C4" s="334"/>
      <c r="D4" s="334"/>
      <c r="E4" s="334"/>
    </row>
    <row r="5" spans="1:7" ht="12" customHeight="1" x14ac:dyDescent="0.2">
      <c r="A5" s="328"/>
      <c r="B5" s="328"/>
      <c r="C5" s="328"/>
      <c r="D5" s="328"/>
      <c r="E5" s="328"/>
    </row>
    <row r="6" spans="1:7" x14ac:dyDescent="0.2">
      <c r="A6" s="335"/>
      <c r="B6" s="335"/>
      <c r="C6" s="335"/>
      <c r="D6" s="335"/>
      <c r="E6" s="335"/>
    </row>
    <row r="7" spans="1:7" x14ac:dyDescent="0.2">
      <c r="A7" s="7"/>
      <c r="B7" s="7"/>
      <c r="C7" s="7"/>
      <c r="D7" s="7"/>
      <c r="E7" s="7"/>
    </row>
    <row r="8" spans="1:7" x14ac:dyDescent="0.2">
      <c r="A8" s="7"/>
      <c r="B8" s="7"/>
      <c r="C8" s="7"/>
      <c r="D8" s="7"/>
      <c r="E8" s="7"/>
    </row>
    <row r="9" spans="1:7" ht="12" customHeight="1" x14ac:dyDescent="0.2">
      <c r="A9" s="328"/>
      <c r="B9" s="328"/>
      <c r="C9" s="328"/>
      <c r="D9" s="328"/>
      <c r="E9" s="328"/>
    </row>
    <row r="10" spans="1:7" x14ac:dyDescent="0.2">
      <c r="A10" s="335"/>
      <c r="B10" s="335"/>
      <c r="C10" s="335"/>
      <c r="D10" s="335"/>
      <c r="E10" s="335"/>
    </row>
    <row r="11" spans="1:7" ht="20.25" x14ac:dyDescent="0.3">
      <c r="A11" s="323" t="s">
        <v>45</v>
      </c>
      <c r="B11" s="323"/>
      <c r="C11" s="323"/>
      <c r="D11" s="323"/>
      <c r="E11" s="323"/>
    </row>
    <row r="12" spans="1:7" ht="19.5" thickBot="1" x14ac:dyDescent="0.35">
      <c r="A12" s="12"/>
    </row>
    <row r="13" spans="1:7" ht="30" customHeight="1" thickTop="1" x14ac:dyDescent="0.2">
      <c r="A13" s="339" t="s">
        <v>46</v>
      </c>
      <c r="B13" s="340"/>
      <c r="C13" s="340"/>
      <c r="D13" s="340"/>
      <c r="E13" s="341"/>
    </row>
    <row r="14" spans="1:7" ht="30" customHeight="1" x14ac:dyDescent="0.2">
      <c r="A14" s="342" t="s">
        <v>47</v>
      </c>
      <c r="B14" s="343"/>
      <c r="C14" s="344"/>
      <c r="D14" s="30" t="s">
        <v>48</v>
      </c>
      <c r="E14" s="31" t="s">
        <v>49</v>
      </c>
    </row>
    <row r="15" spans="1:7" ht="30" customHeight="1" x14ac:dyDescent="0.2">
      <c r="A15" s="345" t="s">
        <v>50</v>
      </c>
      <c r="B15" s="346"/>
      <c r="C15" s="346"/>
      <c r="D15" s="32">
        <f>'НАВЧАЛЬНА РОБОТА'!AN55</f>
        <v>0</v>
      </c>
      <c r="E15" s="33">
        <f>'НАВЧАЛЬНА РОБОТА'!AO55</f>
        <v>0</v>
      </c>
    </row>
    <row r="16" spans="1:7" ht="30" customHeight="1" x14ac:dyDescent="0.2">
      <c r="A16" s="345" t="s">
        <v>51</v>
      </c>
      <c r="B16" s="346"/>
      <c r="C16" s="346"/>
      <c r="D16" s="32">
        <f>'МЕТОД+НАУК+ОРГАН'!E13</f>
        <v>0</v>
      </c>
      <c r="E16" s="33">
        <f>'МЕТОД+НАУК+ОРГАН'!F13</f>
        <v>0</v>
      </c>
    </row>
    <row r="17" spans="1:7" ht="30" customHeight="1" x14ac:dyDescent="0.2">
      <c r="A17" s="345" t="s">
        <v>52</v>
      </c>
      <c r="B17" s="346"/>
      <c r="C17" s="346"/>
      <c r="D17" s="32">
        <f>'МЕТОД+НАУК+ОРГАН'!E25</f>
        <v>0</v>
      </c>
      <c r="E17" s="33">
        <f>'МЕТОД+НАУК+ОРГАН'!F25</f>
        <v>0</v>
      </c>
    </row>
    <row r="18" spans="1:7" ht="30" customHeight="1" thickBot="1" x14ac:dyDescent="0.25">
      <c r="A18" s="347" t="s">
        <v>53</v>
      </c>
      <c r="B18" s="348"/>
      <c r="C18" s="348"/>
      <c r="D18" s="34">
        <f>'МЕТОД+НАУК+ОРГАН'!E37</f>
        <v>0</v>
      </c>
      <c r="E18" s="35">
        <f>'МЕТОД+НАУК+ОРГАН'!F37</f>
        <v>0</v>
      </c>
    </row>
    <row r="19" spans="1:7" ht="30" customHeight="1" thickBot="1" x14ac:dyDescent="0.25">
      <c r="A19" s="349" t="s">
        <v>41</v>
      </c>
      <c r="B19" s="350"/>
      <c r="C19" s="351"/>
      <c r="D19" s="272">
        <f>SUM(D15:D18)</f>
        <v>0</v>
      </c>
      <c r="E19" s="273">
        <f>SUM(E15:E18)</f>
        <v>0</v>
      </c>
      <c r="F19" s="85">
        <f>F2-D19</f>
        <v>0</v>
      </c>
      <c r="G19" s="86">
        <f>IF(F19=0,0,"- відхілення від норматива")</f>
        <v>0</v>
      </c>
    </row>
    <row r="21" spans="1:7" ht="24.75" customHeight="1" x14ac:dyDescent="0.2"/>
    <row r="22" spans="1:7" s="13" customFormat="1" ht="55.5" customHeight="1" x14ac:dyDescent="0.45">
      <c r="A22" s="322"/>
      <c r="B22" s="322"/>
      <c r="C22" s="322"/>
      <c r="D22" s="322"/>
      <c r="E22" s="322"/>
    </row>
    <row r="23" spans="1:7" s="14" customFormat="1" ht="18" customHeight="1" x14ac:dyDescent="0.3">
      <c r="A23" s="352" t="str">
        <f>CONCATENATE("Індивідуальний план склав _______________________ / ",ТИТУЛ!A24," /")</f>
        <v>Індивідуальний план склав _______________________ /  /</v>
      </c>
      <c r="B23" s="352"/>
      <c r="C23" s="352"/>
      <c r="D23" s="352"/>
      <c r="E23" s="352"/>
    </row>
    <row r="24" spans="1:7" ht="41.25" customHeight="1" x14ac:dyDescent="0.2">
      <c r="A24" s="3"/>
      <c r="B24" s="3"/>
      <c r="C24" s="3"/>
      <c r="D24" s="3"/>
      <c r="E24" s="3"/>
    </row>
    <row r="25" spans="1:7" ht="18" customHeight="1" x14ac:dyDescent="0.2">
      <c r="A25" s="329" t="s">
        <v>89</v>
      </c>
      <c r="B25" s="329"/>
      <c r="C25" s="83" t="s">
        <v>93</v>
      </c>
      <c r="F25" s="336" t="s">
        <v>84</v>
      </c>
      <c r="G25" s="337" t="s">
        <v>91</v>
      </c>
    </row>
    <row r="26" spans="1:7" ht="18" customHeight="1" x14ac:dyDescent="0.2">
      <c r="A26" s="3"/>
      <c r="B26" s="3"/>
      <c r="C26" s="3"/>
      <c r="D26" s="3"/>
      <c r="E26" s="3"/>
      <c r="F26" s="336"/>
      <c r="G26" s="337"/>
    </row>
    <row r="27" spans="1:7" x14ac:dyDescent="0.2">
      <c r="A27" s="338"/>
      <c r="B27" s="338"/>
      <c r="C27" s="338"/>
      <c r="D27" s="338"/>
      <c r="E27" s="338"/>
    </row>
    <row r="28" spans="1:7" x14ac:dyDescent="0.2">
      <c r="A28" s="17"/>
      <c r="B28" s="17"/>
      <c r="C28" s="17"/>
      <c r="D28" s="17"/>
      <c r="E28" s="17"/>
    </row>
    <row r="29" spans="1:7" x14ac:dyDescent="0.2">
      <c r="A29" s="17"/>
      <c r="B29" s="17"/>
      <c r="C29" s="17"/>
      <c r="D29" s="17"/>
      <c r="E29" s="17"/>
    </row>
    <row r="30" spans="1:7" x14ac:dyDescent="0.2">
      <c r="A30" s="17"/>
      <c r="B30" s="17"/>
      <c r="C30" s="17"/>
      <c r="D30" s="17"/>
      <c r="E30" s="17"/>
    </row>
    <row r="31" spans="1:7" x14ac:dyDescent="0.2">
      <c r="A31" s="7"/>
      <c r="B31" s="7"/>
      <c r="C31" s="7"/>
      <c r="D31" s="7"/>
      <c r="E31" s="7"/>
    </row>
    <row r="32" spans="1:7" x14ac:dyDescent="0.2">
      <c r="A32" s="7"/>
      <c r="B32" s="7"/>
      <c r="C32" s="7"/>
      <c r="D32" s="7"/>
      <c r="E32" s="7"/>
    </row>
    <row r="33" spans="1:5" x14ac:dyDescent="0.2">
      <c r="A33" s="7"/>
      <c r="B33" s="7"/>
      <c r="C33" s="7"/>
      <c r="D33" s="7"/>
      <c r="E33" s="7"/>
    </row>
    <row r="35" spans="1:5" ht="44.25" customHeight="1" x14ac:dyDescent="0.2">
      <c r="A35" s="28"/>
      <c r="B35" s="28"/>
      <c r="C35" s="28"/>
      <c r="D35" s="28"/>
      <c r="E35" s="28"/>
    </row>
    <row r="36" spans="1:5" ht="30" customHeight="1" x14ac:dyDescent="0.25">
      <c r="A36" s="29"/>
      <c r="B36" s="16"/>
      <c r="C36" s="16"/>
      <c r="D36" s="16"/>
      <c r="E36" s="16"/>
    </row>
  </sheetData>
  <sheetProtection formatCells="0" selectLockedCells="1"/>
  <mergeCells count="21">
    <mergeCell ref="F25:F26"/>
    <mergeCell ref="G25:G26"/>
    <mergeCell ref="A27:E27"/>
    <mergeCell ref="A11:E11"/>
    <mergeCell ref="A13:E13"/>
    <mergeCell ref="A14:C14"/>
    <mergeCell ref="A15:C15"/>
    <mergeCell ref="A17:C17"/>
    <mergeCell ref="A18:C18"/>
    <mergeCell ref="A19:C19"/>
    <mergeCell ref="A16:C16"/>
    <mergeCell ref="A22:E22"/>
    <mergeCell ref="A23:E23"/>
    <mergeCell ref="A9:E9"/>
    <mergeCell ref="A25:B25"/>
    <mergeCell ref="C1:E2"/>
    <mergeCell ref="B3:E3"/>
    <mergeCell ref="A4:E4"/>
    <mergeCell ref="A5:E5"/>
    <mergeCell ref="A6:E6"/>
    <mergeCell ref="A10:E10"/>
  </mergeCells>
  <conditionalFormatting sqref="D15:E19">
    <cfRule type="cellIs" dxfId="27" priority="1" stopIfTrue="1" operator="equal">
      <formula>0</formula>
    </cfRule>
  </conditionalFormatting>
  <printOptions horizontalCentered="1"/>
  <pageMargins left="0.78740157480314965" right="0.78740157480314965" top="0.78740157480314965" bottom="0.78740157480314965" header="0.51181102362204722" footer="0.51181102362204722"/>
  <pageSetup paperSize="9" scale="9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6" tint="-0.249977111117893"/>
    <pageSetUpPr fitToPage="1"/>
  </sheetPr>
  <dimension ref="A1:AQ60"/>
  <sheetViews>
    <sheetView showZeros="0" view="pageBreakPreview" zoomScale="87" zoomScaleNormal="87" zoomScaleSheetLayoutView="87" workbookViewId="0">
      <pane xSplit="1" ySplit="4" topLeftCell="D38" activePane="bottomRight" state="frozen"/>
      <selection activeCell="C25" sqref="C25"/>
      <selection pane="topRight" activeCell="C25" sqref="C25"/>
      <selection pane="bottomLeft" activeCell="C25" sqref="C25"/>
      <selection pane="bottomRight" activeCell="J23" sqref="J23"/>
    </sheetView>
  </sheetViews>
  <sheetFormatPr defaultRowHeight="12.75" x14ac:dyDescent="0.2"/>
  <cols>
    <col min="1" max="1" width="3.5703125" customWidth="1"/>
    <col min="2" max="2" width="4.42578125" customWidth="1"/>
    <col min="3" max="3" width="36.5703125" customWidth="1"/>
    <col min="4" max="4" width="16" customWidth="1"/>
    <col min="5" max="5" width="4.28515625" customWidth="1"/>
    <col min="6" max="6" width="5.42578125" customWidth="1"/>
    <col min="7" max="7" width="8.7109375" customWidth="1"/>
    <col min="8" max="15" width="5.140625" customWidth="1"/>
    <col min="16" max="17" width="4.7109375" customWidth="1"/>
    <col min="18" max="25" width="5.140625" customWidth="1"/>
    <col min="26" max="27" width="4.7109375" customWidth="1"/>
    <col min="28" max="31" width="5.140625" customWidth="1"/>
    <col min="32" max="33" width="5.140625" style="59" customWidth="1"/>
    <col min="34" max="36" width="5.140625" customWidth="1"/>
    <col min="37" max="37" width="5.85546875" customWidth="1"/>
    <col min="38" max="39" width="5.140625" customWidth="1"/>
    <col min="40" max="41" width="7.140625" customWidth="1"/>
    <col min="42" max="42" width="11" customWidth="1"/>
    <col min="43" max="43" width="11.5703125" hidden="1" customWidth="1"/>
    <col min="44" max="44" width="11.5703125" customWidth="1"/>
  </cols>
  <sheetData>
    <row r="1" spans="1:41" ht="18.75" thickBot="1" x14ac:dyDescent="0.3">
      <c r="A1" s="18" t="s">
        <v>30</v>
      </c>
      <c r="O1" s="9"/>
    </row>
    <row r="2" spans="1:41" ht="15.75" customHeight="1" thickBot="1" x14ac:dyDescent="0.25">
      <c r="A2" s="353" t="s">
        <v>13</v>
      </c>
      <c r="B2" s="397" t="s">
        <v>54</v>
      </c>
      <c r="C2" s="399" t="s">
        <v>75</v>
      </c>
      <c r="D2" s="401" t="s">
        <v>32</v>
      </c>
      <c r="E2" s="404" t="s">
        <v>24</v>
      </c>
      <c r="F2" s="397" t="s">
        <v>2</v>
      </c>
      <c r="G2" s="397" t="s">
        <v>3</v>
      </c>
      <c r="H2" s="375" t="s">
        <v>15</v>
      </c>
      <c r="I2" s="376"/>
      <c r="J2" s="375" t="s">
        <v>449</v>
      </c>
      <c r="K2" s="376"/>
      <c r="L2" s="375" t="s">
        <v>16</v>
      </c>
      <c r="M2" s="376"/>
      <c r="N2" s="375" t="s">
        <v>17</v>
      </c>
      <c r="O2" s="376"/>
      <c r="P2" s="375" t="s">
        <v>18</v>
      </c>
      <c r="Q2" s="376"/>
      <c r="R2" s="381" t="s">
        <v>450</v>
      </c>
      <c r="S2" s="382"/>
      <c r="T2" s="389" t="s">
        <v>61</v>
      </c>
      <c r="U2" s="390"/>
      <c r="V2" s="390"/>
      <c r="W2" s="390"/>
      <c r="X2" s="390"/>
      <c r="Y2" s="391"/>
      <c r="Z2" s="375" t="s">
        <v>14</v>
      </c>
      <c r="AA2" s="376"/>
      <c r="AB2" s="375" t="s">
        <v>20</v>
      </c>
      <c r="AC2" s="376"/>
      <c r="AD2" s="375" t="s">
        <v>62</v>
      </c>
      <c r="AE2" s="376"/>
      <c r="AF2" s="375" t="s">
        <v>452</v>
      </c>
      <c r="AG2" s="376"/>
      <c r="AH2" s="375" t="s">
        <v>21</v>
      </c>
      <c r="AI2" s="376"/>
      <c r="AJ2" s="375" t="s">
        <v>22</v>
      </c>
      <c r="AK2" s="376"/>
      <c r="AL2" s="381" t="s">
        <v>23</v>
      </c>
      <c r="AM2" s="382"/>
      <c r="AN2" s="385" t="s">
        <v>60</v>
      </c>
      <c r="AO2" s="386"/>
    </row>
    <row r="3" spans="1:41" ht="143.25" customHeight="1" thickBot="1" x14ac:dyDescent="0.25">
      <c r="A3" s="354"/>
      <c r="B3" s="398"/>
      <c r="C3" s="400"/>
      <c r="D3" s="402"/>
      <c r="E3" s="405"/>
      <c r="F3" s="398"/>
      <c r="G3" s="398"/>
      <c r="H3" s="377"/>
      <c r="I3" s="378"/>
      <c r="J3" s="377"/>
      <c r="K3" s="378"/>
      <c r="L3" s="377"/>
      <c r="M3" s="378"/>
      <c r="N3" s="377"/>
      <c r="O3" s="378"/>
      <c r="P3" s="377"/>
      <c r="Q3" s="378"/>
      <c r="R3" s="383"/>
      <c r="S3" s="384"/>
      <c r="T3" s="392" t="s">
        <v>19</v>
      </c>
      <c r="U3" s="393"/>
      <c r="V3" s="392" t="s">
        <v>79</v>
      </c>
      <c r="W3" s="393"/>
      <c r="X3" s="392" t="s">
        <v>28</v>
      </c>
      <c r="Y3" s="393"/>
      <c r="Z3" s="377"/>
      <c r="AA3" s="378"/>
      <c r="AB3" s="377"/>
      <c r="AC3" s="378"/>
      <c r="AD3" s="377"/>
      <c r="AE3" s="378"/>
      <c r="AF3" s="377"/>
      <c r="AG3" s="378"/>
      <c r="AH3" s="377"/>
      <c r="AI3" s="378"/>
      <c r="AJ3" s="377"/>
      <c r="AK3" s="378"/>
      <c r="AL3" s="383"/>
      <c r="AM3" s="384"/>
      <c r="AN3" s="387"/>
      <c r="AO3" s="388"/>
    </row>
    <row r="4" spans="1:41" ht="45" customHeight="1" thickBot="1" x14ac:dyDescent="0.25">
      <c r="A4" s="355"/>
      <c r="B4" s="398"/>
      <c r="C4" s="400"/>
      <c r="D4" s="403"/>
      <c r="E4" s="406"/>
      <c r="F4" s="407"/>
      <c r="G4" s="407"/>
      <c r="H4" s="256" t="s">
        <v>33</v>
      </c>
      <c r="I4" s="20" t="s">
        <v>55</v>
      </c>
      <c r="J4" s="19" t="s">
        <v>33</v>
      </c>
      <c r="K4" s="20" t="s">
        <v>55</v>
      </c>
      <c r="L4" s="19" t="s">
        <v>33</v>
      </c>
      <c r="M4" s="20" t="s">
        <v>55</v>
      </c>
      <c r="N4" s="19" t="s">
        <v>33</v>
      </c>
      <c r="O4" s="20" t="s">
        <v>55</v>
      </c>
      <c r="P4" s="19" t="s">
        <v>33</v>
      </c>
      <c r="Q4" s="20" t="s">
        <v>55</v>
      </c>
      <c r="R4" s="19" t="s">
        <v>33</v>
      </c>
      <c r="S4" s="20" t="s">
        <v>55</v>
      </c>
      <c r="T4" s="19" t="s">
        <v>33</v>
      </c>
      <c r="U4" s="20" t="s">
        <v>55</v>
      </c>
      <c r="V4" s="19" t="s">
        <v>33</v>
      </c>
      <c r="W4" s="20" t="s">
        <v>55</v>
      </c>
      <c r="X4" s="19" t="s">
        <v>33</v>
      </c>
      <c r="Y4" s="20" t="s">
        <v>55</v>
      </c>
      <c r="Z4" s="19" t="s">
        <v>33</v>
      </c>
      <c r="AA4" s="20" t="s">
        <v>55</v>
      </c>
      <c r="AB4" s="19" t="s">
        <v>33</v>
      </c>
      <c r="AC4" s="20" t="s">
        <v>55</v>
      </c>
      <c r="AD4" s="19" t="s">
        <v>33</v>
      </c>
      <c r="AE4" s="20" t="s">
        <v>55</v>
      </c>
      <c r="AF4" s="19" t="s">
        <v>33</v>
      </c>
      <c r="AG4" s="20" t="s">
        <v>55</v>
      </c>
      <c r="AH4" s="19" t="s">
        <v>33</v>
      </c>
      <c r="AI4" s="20" t="s">
        <v>55</v>
      </c>
      <c r="AJ4" s="19" t="s">
        <v>33</v>
      </c>
      <c r="AK4" s="20" t="s">
        <v>55</v>
      </c>
      <c r="AL4" s="19" t="s">
        <v>33</v>
      </c>
      <c r="AM4" s="20" t="s">
        <v>55</v>
      </c>
      <c r="AN4" s="104" t="s">
        <v>33</v>
      </c>
      <c r="AO4" s="105" t="s">
        <v>55</v>
      </c>
    </row>
    <row r="5" spans="1:41" ht="15.75" thickBot="1" x14ac:dyDescent="0.25">
      <c r="A5" s="356" t="s">
        <v>10</v>
      </c>
      <c r="B5" s="40">
        <f>IF(C5=0,0,1)</f>
        <v>0</v>
      </c>
      <c r="C5" s="170"/>
      <c r="D5" s="257"/>
      <c r="E5" s="258"/>
      <c r="F5" s="259"/>
      <c r="G5" s="260"/>
      <c r="H5" s="107"/>
      <c r="I5" s="108"/>
      <c r="J5" s="107"/>
      <c r="K5" s="108"/>
      <c r="L5" s="107"/>
      <c r="M5" s="108"/>
      <c r="N5" s="107"/>
      <c r="O5" s="108"/>
      <c r="P5" s="107"/>
      <c r="Q5" s="108"/>
      <c r="R5" s="107"/>
      <c r="S5" s="108"/>
      <c r="T5" s="131"/>
      <c r="U5" s="132"/>
      <c r="V5" s="131"/>
      <c r="W5" s="132"/>
      <c r="X5" s="133"/>
      <c r="Y5" s="132"/>
      <c r="Z5" s="131"/>
      <c r="AA5" s="132"/>
      <c r="AB5" s="131"/>
      <c r="AC5" s="132"/>
      <c r="AD5" s="133"/>
      <c r="AE5" s="282"/>
      <c r="AF5" s="292"/>
      <c r="AG5" s="292"/>
      <c r="AH5" s="299"/>
      <c r="AI5" s="132"/>
      <c r="AJ5" s="134"/>
      <c r="AK5" s="135"/>
      <c r="AL5" s="136"/>
      <c r="AM5" s="137"/>
      <c r="AN5" s="15">
        <f>H5+J5+L5+N5+P5+R5+T5+V5+X5+Z5+AB5+AD5+AF5+AH5+AJ5+AL5</f>
        <v>0</v>
      </c>
      <c r="AO5" s="15">
        <f>I5+K5+M5+O5+Q5+S5+U5+W5+Y5+AA5+AC5+AE5+AG5+AI5+AK5+AM5</f>
        <v>0</v>
      </c>
    </row>
    <row r="6" spans="1:41" ht="15.75" thickBot="1" x14ac:dyDescent="0.25">
      <c r="A6" s="357"/>
      <c r="B6" s="40">
        <f>IF(C6=0,0,B5+1)</f>
        <v>0</v>
      </c>
      <c r="C6" s="170"/>
      <c r="D6" s="124"/>
      <c r="E6" s="129"/>
      <c r="F6" s="130"/>
      <c r="G6" s="106"/>
      <c r="H6" s="109"/>
      <c r="I6" s="110"/>
      <c r="J6" s="109"/>
      <c r="K6" s="110"/>
      <c r="L6" s="109"/>
      <c r="M6" s="110"/>
      <c r="N6" s="109"/>
      <c r="O6" s="110"/>
      <c r="P6" s="109"/>
      <c r="Q6" s="110"/>
      <c r="R6" s="109"/>
      <c r="S6" s="110"/>
      <c r="T6" s="138"/>
      <c r="U6" s="139"/>
      <c r="V6" s="138"/>
      <c r="W6" s="139"/>
      <c r="X6" s="133"/>
      <c r="Y6" s="139"/>
      <c r="Z6" s="138"/>
      <c r="AA6" s="139"/>
      <c r="AB6" s="138"/>
      <c r="AC6" s="139"/>
      <c r="AD6" s="133"/>
      <c r="AE6" s="283"/>
      <c r="AF6" s="290"/>
      <c r="AG6" s="290"/>
      <c r="AH6" s="300"/>
      <c r="AI6" s="139"/>
      <c r="AJ6" s="143"/>
      <c r="AK6" s="140"/>
      <c r="AL6" s="141"/>
      <c r="AM6" s="142"/>
      <c r="AN6" s="15">
        <f t="shared" ref="AN6:AN14" si="0">H6+J6+L6+N6+P6+R6+T6+V6+X6+Z6+AB6+AD6+AF6+AH6+AJ6+AL6</f>
        <v>0</v>
      </c>
      <c r="AO6" s="15">
        <f t="shared" ref="AO6:AO14" si="1">I6+K6+M6+O6+Q6+S6+U6+W6+Y6+AA6+AC6+AE6+AG6+AI6+AK6+AM6</f>
        <v>0</v>
      </c>
    </row>
    <row r="7" spans="1:41" ht="15.75" thickBot="1" x14ac:dyDescent="0.25">
      <c r="A7" s="357"/>
      <c r="B7" s="40">
        <f t="shared" ref="B7:B14" si="2">IF(C7=0,0,B6+1)</f>
        <v>0</v>
      </c>
      <c r="C7" s="155"/>
      <c r="D7" s="124"/>
      <c r="E7" s="129"/>
      <c r="F7" s="130"/>
      <c r="G7" s="106"/>
      <c r="H7" s="109"/>
      <c r="I7" s="110"/>
      <c r="J7" s="109"/>
      <c r="K7" s="110"/>
      <c r="L7" s="109"/>
      <c r="M7" s="110"/>
      <c r="N7" s="109"/>
      <c r="O7" s="110"/>
      <c r="P7" s="109"/>
      <c r="Q7" s="110"/>
      <c r="R7" s="109"/>
      <c r="S7" s="110"/>
      <c r="T7" s="138"/>
      <c r="U7" s="139"/>
      <c r="V7" s="138"/>
      <c r="W7" s="139"/>
      <c r="X7" s="133"/>
      <c r="Y7" s="139"/>
      <c r="Z7" s="138"/>
      <c r="AA7" s="139"/>
      <c r="AB7" s="138"/>
      <c r="AC7" s="139"/>
      <c r="AD7" s="143"/>
      <c r="AE7" s="283"/>
      <c r="AF7" s="290"/>
      <c r="AG7" s="290"/>
      <c r="AH7" s="287"/>
      <c r="AI7" s="139"/>
      <c r="AJ7" s="134"/>
      <c r="AK7" s="140"/>
      <c r="AL7" s="141"/>
      <c r="AM7" s="142"/>
      <c r="AN7" s="15">
        <f t="shared" si="0"/>
        <v>0</v>
      </c>
      <c r="AO7" s="15">
        <f t="shared" si="1"/>
        <v>0</v>
      </c>
    </row>
    <row r="8" spans="1:41" ht="15.75" thickBot="1" x14ac:dyDescent="0.25">
      <c r="A8" s="357"/>
      <c r="B8" s="40">
        <f t="shared" si="2"/>
        <v>0</v>
      </c>
      <c r="C8" s="170"/>
      <c r="D8" s="124"/>
      <c r="E8" s="129"/>
      <c r="F8" s="130"/>
      <c r="G8" s="106"/>
      <c r="H8" s="109"/>
      <c r="I8" s="110"/>
      <c r="J8" s="109"/>
      <c r="K8" s="110"/>
      <c r="L8" s="109"/>
      <c r="M8" s="110"/>
      <c r="N8" s="109"/>
      <c r="O8" s="110"/>
      <c r="P8" s="109"/>
      <c r="Q8" s="110"/>
      <c r="R8" s="109"/>
      <c r="S8" s="110"/>
      <c r="T8" s="138"/>
      <c r="U8" s="139"/>
      <c r="V8" s="138"/>
      <c r="W8" s="139"/>
      <c r="X8" s="133"/>
      <c r="Y8" s="139"/>
      <c r="Z8" s="138"/>
      <c r="AA8" s="139"/>
      <c r="AB8" s="138"/>
      <c r="AC8" s="139"/>
      <c r="AD8" s="133"/>
      <c r="AE8" s="283"/>
      <c r="AF8" s="290"/>
      <c r="AG8" s="290"/>
      <c r="AH8" s="287"/>
      <c r="AI8" s="139"/>
      <c r="AJ8" s="134"/>
      <c r="AK8" s="140"/>
      <c r="AL8" s="141"/>
      <c r="AM8" s="142"/>
      <c r="AN8" s="15">
        <f t="shared" si="0"/>
        <v>0</v>
      </c>
      <c r="AO8" s="15">
        <f t="shared" si="1"/>
        <v>0</v>
      </c>
    </row>
    <row r="9" spans="1:41" ht="15.75" thickBot="1" x14ac:dyDescent="0.25">
      <c r="A9" s="357"/>
      <c r="B9" s="40">
        <f t="shared" si="2"/>
        <v>0</v>
      </c>
      <c r="C9" s="234"/>
      <c r="D9" s="40"/>
      <c r="E9" s="40"/>
      <c r="F9" s="40"/>
      <c r="G9" s="40"/>
      <c r="H9" s="71"/>
      <c r="I9" s="72"/>
      <c r="J9" s="71"/>
      <c r="K9" s="72"/>
      <c r="L9" s="71"/>
      <c r="M9" s="72"/>
      <c r="N9" s="71"/>
      <c r="O9" s="72"/>
      <c r="P9" s="71"/>
      <c r="Q9" s="72"/>
      <c r="R9" s="71"/>
      <c r="S9" s="72"/>
      <c r="T9" s="71"/>
      <c r="U9" s="72"/>
      <c r="V9" s="71"/>
      <c r="W9" s="72"/>
      <c r="X9" s="71"/>
      <c r="Y9" s="72"/>
      <c r="Z9" s="71"/>
      <c r="AA9" s="72"/>
      <c r="AB9" s="71"/>
      <c r="AC9" s="72"/>
      <c r="AD9" s="71"/>
      <c r="AE9" s="284"/>
      <c r="AF9" s="291"/>
      <c r="AG9" s="291"/>
      <c r="AH9" s="288"/>
      <c r="AI9" s="72"/>
      <c r="AJ9" s="71"/>
      <c r="AK9" s="72"/>
      <c r="AL9" s="71"/>
      <c r="AM9" s="72"/>
      <c r="AN9" s="15">
        <f t="shared" si="0"/>
        <v>0</v>
      </c>
      <c r="AO9" s="15">
        <f t="shared" si="1"/>
        <v>0</v>
      </c>
    </row>
    <row r="10" spans="1:41" ht="15.75" thickBot="1" x14ac:dyDescent="0.25">
      <c r="A10" s="357"/>
      <c r="B10" s="40">
        <f t="shared" si="2"/>
        <v>0</v>
      </c>
      <c r="C10" s="234"/>
      <c r="D10" s="40"/>
      <c r="E10" s="40"/>
      <c r="F10" s="40"/>
      <c r="G10" s="40"/>
      <c r="H10" s="71"/>
      <c r="I10" s="72"/>
      <c r="J10" s="71"/>
      <c r="K10" s="72"/>
      <c r="L10" s="71"/>
      <c r="M10" s="72"/>
      <c r="N10" s="71"/>
      <c r="O10" s="72"/>
      <c r="P10" s="71"/>
      <c r="Q10" s="72"/>
      <c r="R10" s="71"/>
      <c r="S10" s="72"/>
      <c r="T10" s="71"/>
      <c r="U10" s="72"/>
      <c r="V10" s="71"/>
      <c r="W10" s="72"/>
      <c r="X10" s="71"/>
      <c r="Y10" s="72"/>
      <c r="Z10" s="71"/>
      <c r="AA10" s="72"/>
      <c r="AB10" s="71"/>
      <c r="AC10" s="72"/>
      <c r="AD10" s="71"/>
      <c r="AE10" s="284"/>
      <c r="AF10" s="291"/>
      <c r="AG10" s="291"/>
      <c r="AH10" s="288"/>
      <c r="AI10" s="72"/>
      <c r="AJ10" s="71"/>
      <c r="AK10" s="72"/>
      <c r="AL10" s="71"/>
      <c r="AM10" s="72"/>
      <c r="AN10" s="15">
        <f t="shared" si="0"/>
        <v>0</v>
      </c>
      <c r="AO10" s="15">
        <f t="shared" si="1"/>
        <v>0</v>
      </c>
    </row>
    <row r="11" spans="1:41" ht="15.75" thickBot="1" x14ac:dyDescent="0.25">
      <c r="A11" s="357"/>
      <c r="B11" s="40">
        <f t="shared" si="2"/>
        <v>0</v>
      </c>
      <c r="C11" s="234"/>
      <c r="D11" s="40"/>
      <c r="E11" s="40"/>
      <c r="F11" s="40"/>
      <c r="G11" s="40"/>
      <c r="H11" s="71"/>
      <c r="I11" s="72"/>
      <c r="J11" s="71"/>
      <c r="K11" s="72"/>
      <c r="L11" s="71"/>
      <c r="M11" s="72"/>
      <c r="N11" s="71"/>
      <c r="O11" s="72"/>
      <c r="P11" s="71"/>
      <c r="Q11" s="72"/>
      <c r="R11" s="71"/>
      <c r="S11" s="72"/>
      <c r="T11" s="71"/>
      <c r="U11" s="72"/>
      <c r="V11" s="71"/>
      <c r="W11" s="72"/>
      <c r="X11" s="71"/>
      <c r="Y11" s="72"/>
      <c r="Z11" s="71"/>
      <c r="AA11" s="72"/>
      <c r="AB11" s="71"/>
      <c r="AC11" s="72"/>
      <c r="AD11" s="71"/>
      <c r="AE11" s="284"/>
      <c r="AF11" s="291"/>
      <c r="AG11" s="291"/>
      <c r="AH11" s="288"/>
      <c r="AI11" s="72"/>
      <c r="AJ11" s="71"/>
      <c r="AK11" s="72"/>
      <c r="AL11" s="71"/>
      <c r="AM11" s="72"/>
      <c r="AN11" s="15">
        <f t="shared" si="0"/>
        <v>0</v>
      </c>
      <c r="AO11" s="15">
        <f t="shared" si="1"/>
        <v>0</v>
      </c>
    </row>
    <row r="12" spans="1:41" ht="15.75" thickBot="1" x14ac:dyDescent="0.25">
      <c r="A12" s="357"/>
      <c r="B12" s="40">
        <f t="shared" si="2"/>
        <v>0</v>
      </c>
      <c r="C12" s="234"/>
      <c r="D12" s="40"/>
      <c r="E12" s="40"/>
      <c r="F12" s="40"/>
      <c r="G12" s="40"/>
      <c r="H12" s="71"/>
      <c r="I12" s="72"/>
      <c r="J12" s="71"/>
      <c r="K12" s="72"/>
      <c r="L12" s="71"/>
      <c r="M12" s="72"/>
      <c r="N12" s="71"/>
      <c r="O12" s="72"/>
      <c r="P12" s="71"/>
      <c r="Q12" s="72"/>
      <c r="R12" s="71"/>
      <c r="S12" s="72"/>
      <c r="T12" s="71"/>
      <c r="U12" s="72"/>
      <c r="V12" s="71"/>
      <c r="W12" s="72"/>
      <c r="X12" s="71"/>
      <c r="Y12" s="72"/>
      <c r="Z12" s="71"/>
      <c r="AA12" s="72"/>
      <c r="AB12" s="71"/>
      <c r="AC12" s="72"/>
      <c r="AD12" s="71"/>
      <c r="AE12" s="284"/>
      <c r="AF12" s="291"/>
      <c r="AG12" s="291"/>
      <c r="AH12" s="288"/>
      <c r="AI12" s="72"/>
      <c r="AJ12" s="71"/>
      <c r="AK12" s="72"/>
      <c r="AL12" s="71"/>
      <c r="AM12" s="72"/>
      <c r="AN12" s="15">
        <f t="shared" si="0"/>
        <v>0</v>
      </c>
      <c r="AO12" s="15">
        <f t="shared" si="1"/>
        <v>0</v>
      </c>
    </row>
    <row r="13" spans="1:41" ht="15.75" thickBot="1" x14ac:dyDescent="0.25">
      <c r="A13" s="357"/>
      <c r="B13" s="40">
        <f t="shared" si="2"/>
        <v>0</v>
      </c>
      <c r="C13" s="234"/>
      <c r="D13" s="40"/>
      <c r="E13" s="40"/>
      <c r="F13" s="40"/>
      <c r="G13" s="40"/>
      <c r="H13" s="71"/>
      <c r="I13" s="72"/>
      <c r="J13" s="71"/>
      <c r="K13" s="72"/>
      <c r="L13" s="71"/>
      <c r="M13" s="72"/>
      <c r="N13" s="71"/>
      <c r="O13" s="72"/>
      <c r="P13" s="71"/>
      <c r="Q13" s="72"/>
      <c r="R13" s="71"/>
      <c r="S13" s="72"/>
      <c r="T13" s="71"/>
      <c r="U13" s="72"/>
      <c r="V13" s="71"/>
      <c r="W13" s="72"/>
      <c r="X13" s="71"/>
      <c r="Y13" s="72"/>
      <c r="Z13" s="71"/>
      <c r="AA13" s="72"/>
      <c r="AB13" s="71"/>
      <c r="AC13" s="72"/>
      <c r="AD13" s="71"/>
      <c r="AE13" s="284"/>
      <c r="AF13" s="291"/>
      <c r="AG13" s="291"/>
      <c r="AH13" s="288"/>
      <c r="AI13" s="72"/>
      <c r="AJ13" s="71"/>
      <c r="AK13" s="72"/>
      <c r="AL13" s="71"/>
      <c r="AM13" s="72"/>
      <c r="AN13" s="15">
        <f t="shared" si="0"/>
        <v>0</v>
      </c>
      <c r="AO13" s="15">
        <f t="shared" si="1"/>
        <v>0</v>
      </c>
    </row>
    <row r="14" spans="1:41" ht="15.75" thickBot="1" x14ac:dyDescent="0.25">
      <c r="A14" s="357"/>
      <c r="B14" s="40">
        <f t="shared" si="2"/>
        <v>0</v>
      </c>
      <c r="C14" s="274"/>
      <c r="D14" s="42"/>
      <c r="E14" s="42"/>
      <c r="F14" s="42"/>
      <c r="G14" s="42"/>
      <c r="H14" s="73"/>
      <c r="I14" s="74"/>
      <c r="J14" s="73"/>
      <c r="K14" s="74"/>
      <c r="L14" s="73"/>
      <c r="M14" s="74"/>
      <c r="N14" s="73"/>
      <c r="O14" s="74"/>
      <c r="P14" s="73"/>
      <c r="Q14" s="74"/>
      <c r="R14" s="73"/>
      <c r="S14" s="74"/>
      <c r="T14" s="73"/>
      <c r="U14" s="74"/>
      <c r="V14" s="73"/>
      <c r="W14" s="74"/>
      <c r="X14" s="73"/>
      <c r="Y14" s="74"/>
      <c r="Z14" s="73"/>
      <c r="AA14" s="74"/>
      <c r="AB14" s="73"/>
      <c r="AC14" s="74"/>
      <c r="AD14" s="73"/>
      <c r="AE14" s="285"/>
      <c r="AF14" s="307"/>
      <c r="AG14" s="307"/>
      <c r="AH14" s="289"/>
      <c r="AI14" s="74"/>
      <c r="AJ14" s="73"/>
      <c r="AK14" s="74"/>
      <c r="AL14" s="73"/>
      <c r="AM14" s="74"/>
      <c r="AN14" s="15">
        <f t="shared" si="0"/>
        <v>0</v>
      </c>
      <c r="AO14" s="15">
        <f t="shared" si="1"/>
        <v>0</v>
      </c>
    </row>
    <row r="15" spans="1:41" ht="15.75" thickBot="1" x14ac:dyDescent="0.25">
      <c r="A15" s="358"/>
      <c r="B15" s="370" t="s">
        <v>72</v>
      </c>
      <c r="C15" s="371"/>
      <c r="D15" s="371"/>
      <c r="E15" s="371"/>
      <c r="F15" s="371"/>
      <c r="G15" s="372"/>
      <c r="H15" s="95">
        <f t="shared" ref="H15:AM15" si="3">SUM(H5:H14)</f>
        <v>0</v>
      </c>
      <c r="I15" s="96">
        <f t="shared" si="3"/>
        <v>0</v>
      </c>
      <c r="J15" s="95">
        <f t="shared" si="3"/>
        <v>0</v>
      </c>
      <c r="K15" s="96">
        <f t="shared" si="3"/>
        <v>0</v>
      </c>
      <c r="L15" s="95">
        <f t="shared" si="3"/>
        <v>0</v>
      </c>
      <c r="M15" s="96">
        <f t="shared" si="3"/>
        <v>0</v>
      </c>
      <c r="N15" s="95">
        <f t="shared" si="3"/>
        <v>0</v>
      </c>
      <c r="O15" s="96">
        <f t="shared" si="3"/>
        <v>0</v>
      </c>
      <c r="P15" s="95">
        <f t="shared" si="3"/>
        <v>0</v>
      </c>
      <c r="Q15" s="96">
        <f t="shared" si="3"/>
        <v>0</v>
      </c>
      <c r="R15" s="95">
        <f t="shared" si="3"/>
        <v>0</v>
      </c>
      <c r="S15" s="96">
        <f t="shared" si="3"/>
        <v>0</v>
      </c>
      <c r="T15" s="95">
        <f t="shared" si="3"/>
        <v>0</v>
      </c>
      <c r="U15" s="96">
        <f t="shared" si="3"/>
        <v>0</v>
      </c>
      <c r="V15" s="95">
        <f t="shared" si="3"/>
        <v>0</v>
      </c>
      <c r="W15" s="96">
        <f t="shared" si="3"/>
        <v>0</v>
      </c>
      <c r="X15" s="95">
        <f t="shared" si="3"/>
        <v>0</v>
      </c>
      <c r="Y15" s="96">
        <f t="shared" si="3"/>
        <v>0</v>
      </c>
      <c r="Z15" s="95">
        <f t="shared" si="3"/>
        <v>0</v>
      </c>
      <c r="AA15" s="96">
        <f t="shared" si="3"/>
        <v>0</v>
      </c>
      <c r="AB15" s="95">
        <f t="shared" si="3"/>
        <v>0</v>
      </c>
      <c r="AC15" s="96">
        <f t="shared" si="3"/>
        <v>0</v>
      </c>
      <c r="AD15" s="95">
        <f t="shared" si="3"/>
        <v>0</v>
      </c>
      <c r="AE15" s="294">
        <f t="shared" si="3"/>
        <v>0</v>
      </c>
      <c r="AF15" s="293"/>
      <c r="AG15" s="293"/>
      <c r="AH15" s="301">
        <f t="shared" si="3"/>
        <v>0</v>
      </c>
      <c r="AI15" s="96">
        <f t="shared" si="3"/>
        <v>0</v>
      </c>
      <c r="AJ15" s="95">
        <f t="shared" si="3"/>
        <v>0</v>
      </c>
      <c r="AK15" s="96">
        <f t="shared" si="3"/>
        <v>0</v>
      </c>
      <c r="AL15" s="95">
        <f t="shared" si="3"/>
        <v>0</v>
      </c>
      <c r="AM15" s="96">
        <f t="shared" si="3"/>
        <v>0</v>
      </c>
      <c r="AN15" s="277">
        <f>SUM(AN5:AN14)</f>
        <v>0</v>
      </c>
      <c r="AO15" s="277">
        <f>SUM(AO5:AO14)</f>
        <v>0</v>
      </c>
    </row>
    <row r="16" spans="1:41" ht="15.75" thickBot="1" x14ac:dyDescent="0.25">
      <c r="A16" s="408" t="s">
        <v>31</v>
      </c>
      <c r="B16" s="44">
        <f>IF(C16=0,0,1)</f>
        <v>0</v>
      </c>
      <c r="C16" s="128"/>
      <c r="D16" s="111"/>
      <c r="E16" s="144"/>
      <c r="F16" s="144"/>
      <c r="G16" s="123"/>
      <c r="H16" s="145"/>
      <c r="I16" s="132"/>
      <c r="J16" s="131"/>
      <c r="K16" s="132"/>
      <c r="L16" s="131"/>
      <c r="M16" s="132"/>
      <c r="N16" s="146"/>
      <c r="O16" s="114"/>
      <c r="P16" s="113"/>
      <c r="Q16" s="114"/>
      <c r="R16" s="113"/>
      <c r="S16" s="114"/>
      <c r="T16" s="113"/>
      <c r="U16" s="114"/>
      <c r="V16" s="113"/>
      <c r="W16" s="114"/>
      <c r="X16" s="113"/>
      <c r="Y16" s="114"/>
      <c r="Z16" s="113"/>
      <c r="AA16" s="114"/>
      <c r="AB16" s="113"/>
      <c r="AC16" s="114"/>
      <c r="AD16" s="113"/>
      <c r="AE16" s="295"/>
      <c r="AF16" s="308"/>
      <c r="AG16" s="308"/>
      <c r="AH16" s="302"/>
      <c r="AI16" s="114"/>
      <c r="AJ16" s="113"/>
      <c r="AK16" s="114"/>
      <c r="AL16" s="113"/>
      <c r="AM16" s="114"/>
      <c r="AN16" s="15">
        <f t="shared" ref="AN16:AO48" si="4">H16+J16+L16+N16+P16+R16+T16+V16+X16+Z16+AB16+AD16+AF16+AH16+AJ16+AL16</f>
        <v>0</v>
      </c>
      <c r="AO16" s="15">
        <f t="shared" ref="AO16:AO48" si="5">I16+K16+M16+O16+Q16+S16+U16+W16+Y16+AA16+AC16+AE16+AG16+AI16+AK16+AM16</f>
        <v>0</v>
      </c>
    </row>
    <row r="17" spans="1:41" ht="15.75" thickBot="1" x14ac:dyDescent="0.25">
      <c r="A17" s="409"/>
      <c r="B17" s="40">
        <f>IF(C17=0,0,B16+1)</f>
        <v>0</v>
      </c>
      <c r="C17" s="128"/>
      <c r="D17" s="115"/>
      <c r="E17" s="144"/>
      <c r="F17" s="147"/>
      <c r="G17" s="123"/>
      <c r="H17" s="145"/>
      <c r="I17" s="139"/>
      <c r="J17" s="138"/>
      <c r="K17" s="139"/>
      <c r="L17" s="138"/>
      <c r="M17" s="139"/>
      <c r="N17" s="146"/>
      <c r="O17" s="117"/>
      <c r="P17" s="116"/>
      <c r="Q17" s="117"/>
      <c r="R17" s="116"/>
      <c r="S17" s="117"/>
      <c r="T17" s="116"/>
      <c r="U17" s="117"/>
      <c r="V17" s="116"/>
      <c r="W17" s="117"/>
      <c r="X17" s="116"/>
      <c r="Y17" s="117"/>
      <c r="Z17" s="116"/>
      <c r="AA17" s="117"/>
      <c r="AB17" s="116"/>
      <c r="AC17" s="117"/>
      <c r="AD17" s="116"/>
      <c r="AE17" s="296"/>
      <c r="AF17" s="309"/>
      <c r="AG17" s="309"/>
      <c r="AH17" s="303"/>
      <c r="AI17" s="117"/>
      <c r="AJ17" s="116"/>
      <c r="AK17" s="117"/>
      <c r="AL17" s="116"/>
      <c r="AM17" s="117"/>
      <c r="AN17" s="15">
        <f t="shared" si="4"/>
        <v>0</v>
      </c>
      <c r="AO17" s="15">
        <f t="shared" si="5"/>
        <v>0</v>
      </c>
    </row>
    <row r="18" spans="1:41" ht="15.75" thickBot="1" x14ac:dyDescent="0.25">
      <c r="A18" s="409"/>
      <c r="B18" s="40">
        <f>IF(C18=0,0,B17+1)</f>
        <v>0</v>
      </c>
      <c r="C18" s="128"/>
      <c r="D18" s="115"/>
      <c r="E18" s="144"/>
      <c r="F18" s="147"/>
      <c r="G18" s="123"/>
      <c r="H18" s="145"/>
      <c r="I18" s="139"/>
      <c r="J18" s="138"/>
      <c r="K18" s="139"/>
      <c r="L18" s="138"/>
      <c r="M18" s="139"/>
      <c r="N18" s="146"/>
      <c r="O18" s="117"/>
      <c r="P18" s="116"/>
      <c r="Q18" s="117"/>
      <c r="R18" s="116"/>
      <c r="S18" s="117"/>
      <c r="T18" s="116"/>
      <c r="U18" s="117"/>
      <c r="V18" s="116"/>
      <c r="W18" s="117"/>
      <c r="X18" s="116"/>
      <c r="Y18" s="117"/>
      <c r="Z18" s="116"/>
      <c r="AA18" s="117"/>
      <c r="AB18" s="116"/>
      <c r="AC18" s="117"/>
      <c r="AD18" s="116"/>
      <c r="AE18" s="296"/>
      <c r="AF18" s="309"/>
      <c r="AG18" s="309"/>
      <c r="AH18" s="303"/>
      <c r="AI18" s="117"/>
      <c r="AJ18" s="116"/>
      <c r="AK18" s="117"/>
      <c r="AL18" s="116"/>
      <c r="AM18" s="117"/>
      <c r="AN18" s="15">
        <f t="shared" si="4"/>
        <v>0</v>
      </c>
      <c r="AO18" s="15">
        <f t="shared" si="5"/>
        <v>0</v>
      </c>
    </row>
    <row r="19" spans="1:41" ht="15.75" thickBot="1" x14ac:dyDescent="0.25">
      <c r="A19" s="409"/>
      <c r="B19" s="40">
        <f t="shared" ref="B19:B25" si="6">IF(C19=0,0,B18+1)</f>
        <v>0</v>
      </c>
      <c r="C19" s="275"/>
      <c r="D19" s="115"/>
      <c r="E19" s="118"/>
      <c r="F19" s="119"/>
      <c r="G19" s="112"/>
      <c r="H19" s="120"/>
      <c r="I19" s="117"/>
      <c r="J19" s="116"/>
      <c r="K19" s="117"/>
      <c r="L19" s="116"/>
      <c r="M19" s="117"/>
      <c r="N19" s="121"/>
      <c r="O19" s="117"/>
      <c r="P19" s="116"/>
      <c r="Q19" s="117"/>
      <c r="R19" s="116"/>
      <c r="S19" s="117"/>
      <c r="T19" s="116"/>
      <c r="U19" s="117"/>
      <c r="V19" s="116"/>
      <c r="W19" s="117"/>
      <c r="X19" s="116"/>
      <c r="Y19" s="117"/>
      <c r="Z19" s="116"/>
      <c r="AA19" s="117"/>
      <c r="AB19" s="116"/>
      <c r="AC19" s="117"/>
      <c r="AD19" s="116"/>
      <c r="AE19" s="296"/>
      <c r="AF19" s="309"/>
      <c r="AG19" s="309"/>
      <c r="AH19" s="303"/>
      <c r="AI19" s="117"/>
      <c r="AJ19" s="116"/>
      <c r="AK19" s="117"/>
      <c r="AL19" s="116"/>
      <c r="AM19" s="117"/>
      <c r="AN19" s="15">
        <f t="shared" si="4"/>
        <v>0</v>
      </c>
      <c r="AO19" s="15">
        <f t="shared" si="5"/>
        <v>0</v>
      </c>
    </row>
    <row r="20" spans="1:41" s="59" customFormat="1" ht="15.75" thickBot="1" x14ac:dyDescent="0.25">
      <c r="A20" s="409"/>
      <c r="B20" s="40">
        <f t="shared" si="6"/>
        <v>0</v>
      </c>
      <c r="C20" s="275"/>
      <c r="D20" s="115"/>
      <c r="E20" s="118"/>
      <c r="F20" s="119"/>
      <c r="G20" s="112"/>
      <c r="H20" s="120"/>
      <c r="I20" s="117"/>
      <c r="J20" s="116"/>
      <c r="K20" s="117"/>
      <c r="L20" s="116"/>
      <c r="M20" s="117"/>
      <c r="N20" s="121"/>
      <c r="O20" s="117"/>
      <c r="P20" s="116"/>
      <c r="Q20" s="117"/>
      <c r="R20" s="116"/>
      <c r="S20" s="117"/>
      <c r="T20" s="116"/>
      <c r="U20" s="117"/>
      <c r="V20" s="116"/>
      <c r="W20" s="117"/>
      <c r="X20" s="116"/>
      <c r="Y20" s="117"/>
      <c r="Z20" s="116"/>
      <c r="AA20" s="117"/>
      <c r="AB20" s="116"/>
      <c r="AC20" s="117"/>
      <c r="AD20" s="116"/>
      <c r="AE20" s="296"/>
      <c r="AF20" s="309"/>
      <c r="AG20" s="309"/>
      <c r="AH20" s="303"/>
      <c r="AI20" s="117"/>
      <c r="AJ20" s="116"/>
      <c r="AK20" s="117"/>
      <c r="AL20" s="116"/>
      <c r="AM20" s="117"/>
      <c r="AN20" s="15">
        <f t="shared" si="4"/>
        <v>0</v>
      </c>
      <c r="AO20" s="15">
        <f t="shared" si="5"/>
        <v>0</v>
      </c>
    </row>
    <row r="21" spans="1:41" ht="15.75" thickBot="1" x14ac:dyDescent="0.25">
      <c r="A21" s="409"/>
      <c r="B21" s="40">
        <f t="shared" si="6"/>
        <v>0</v>
      </c>
      <c r="C21" s="69"/>
      <c r="D21" s="40"/>
      <c r="E21" s="40"/>
      <c r="F21" s="40"/>
      <c r="G21" s="40"/>
      <c r="H21" s="71"/>
      <c r="I21" s="72"/>
      <c r="J21" s="71"/>
      <c r="K21" s="72"/>
      <c r="L21" s="71"/>
      <c r="M21" s="72"/>
      <c r="N21" s="71"/>
      <c r="O21" s="72"/>
      <c r="P21" s="71"/>
      <c r="Q21" s="72"/>
      <c r="R21" s="71"/>
      <c r="S21" s="72"/>
      <c r="T21" s="71"/>
      <c r="U21" s="72"/>
      <c r="V21" s="71"/>
      <c r="W21" s="72"/>
      <c r="X21" s="71"/>
      <c r="Y21" s="72"/>
      <c r="Z21" s="71"/>
      <c r="AA21" s="72"/>
      <c r="AB21" s="71"/>
      <c r="AC21" s="72"/>
      <c r="AD21" s="71"/>
      <c r="AE21" s="284"/>
      <c r="AF21" s="291"/>
      <c r="AG21" s="291"/>
      <c r="AH21" s="288"/>
      <c r="AI21" s="72"/>
      <c r="AJ21" s="71"/>
      <c r="AK21" s="72"/>
      <c r="AL21" s="71"/>
      <c r="AM21" s="72"/>
      <c r="AN21" s="15">
        <f t="shared" si="4"/>
        <v>0</v>
      </c>
      <c r="AO21" s="15">
        <f t="shared" si="5"/>
        <v>0</v>
      </c>
    </row>
    <row r="22" spans="1:41" ht="15.75" thickBot="1" x14ac:dyDescent="0.25">
      <c r="A22" s="409"/>
      <c r="B22" s="40">
        <f t="shared" si="6"/>
        <v>0</v>
      </c>
      <c r="C22" s="69"/>
      <c r="D22" s="40"/>
      <c r="E22" s="40"/>
      <c r="F22" s="40"/>
      <c r="G22" s="40"/>
      <c r="H22" s="71"/>
      <c r="I22" s="72"/>
      <c r="J22" s="71"/>
      <c r="K22" s="72"/>
      <c r="L22" s="71"/>
      <c r="M22" s="72"/>
      <c r="N22" s="71"/>
      <c r="O22" s="72"/>
      <c r="P22" s="71"/>
      <c r="Q22" s="72"/>
      <c r="R22" s="71"/>
      <c r="S22" s="72"/>
      <c r="T22" s="71"/>
      <c r="U22" s="72"/>
      <c r="V22" s="71"/>
      <c r="W22" s="72"/>
      <c r="X22" s="71"/>
      <c r="Y22" s="72"/>
      <c r="Z22" s="71"/>
      <c r="AA22" s="72"/>
      <c r="AB22" s="71"/>
      <c r="AC22" s="72"/>
      <c r="AD22" s="71"/>
      <c r="AE22" s="284"/>
      <c r="AF22" s="291"/>
      <c r="AG22" s="291"/>
      <c r="AH22" s="288"/>
      <c r="AI22" s="72"/>
      <c r="AJ22" s="71"/>
      <c r="AK22" s="72"/>
      <c r="AL22" s="71"/>
      <c r="AM22" s="72"/>
      <c r="AN22" s="15">
        <f t="shared" si="4"/>
        <v>0</v>
      </c>
      <c r="AO22" s="15">
        <f t="shared" si="5"/>
        <v>0</v>
      </c>
    </row>
    <row r="23" spans="1:41" ht="15.75" thickBot="1" x14ac:dyDescent="0.25">
      <c r="A23" s="409"/>
      <c r="B23" s="40">
        <f t="shared" si="6"/>
        <v>0</v>
      </c>
      <c r="C23" s="69"/>
      <c r="D23" s="40"/>
      <c r="E23" s="40"/>
      <c r="F23" s="40"/>
      <c r="G23" s="40"/>
      <c r="H23" s="71"/>
      <c r="I23" s="72"/>
      <c r="J23" s="71"/>
      <c r="K23" s="72"/>
      <c r="L23" s="71"/>
      <c r="M23" s="72"/>
      <c r="N23" s="71"/>
      <c r="O23" s="72"/>
      <c r="P23" s="71"/>
      <c r="Q23" s="72"/>
      <c r="R23" s="71"/>
      <c r="S23" s="72"/>
      <c r="T23" s="71"/>
      <c r="U23" s="72"/>
      <c r="V23" s="71"/>
      <c r="W23" s="72"/>
      <c r="X23" s="71"/>
      <c r="Y23" s="72"/>
      <c r="Z23" s="71"/>
      <c r="AA23" s="72"/>
      <c r="AB23" s="71"/>
      <c r="AC23" s="72"/>
      <c r="AD23" s="71"/>
      <c r="AE23" s="284"/>
      <c r="AF23" s="291"/>
      <c r="AG23" s="291"/>
      <c r="AH23" s="288"/>
      <c r="AI23" s="72"/>
      <c r="AJ23" s="71"/>
      <c r="AK23" s="72"/>
      <c r="AL23" s="71"/>
      <c r="AM23" s="72"/>
      <c r="AN23" s="15">
        <f t="shared" si="4"/>
        <v>0</v>
      </c>
      <c r="AO23" s="15">
        <f t="shared" si="5"/>
        <v>0</v>
      </c>
    </row>
    <row r="24" spans="1:41" ht="15.75" thickBot="1" x14ac:dyDescent="0.25">
      <c r="A24" s="409"/>
      <c r="B24" s="40">
        <f t="shared" si="6"/>
        <v>0</v>
      </c>
      <c r="C24" s="69"/>
      <c r="D24" s="40"/>
      <c r="E24" s="40"/>
      <c r="F24" s="40"/>
      <c r="G24" s="40"/>
      <c r="H24" s="71"/>
      <c r="I24" s="72"/>
      <c r="J24" s="71"/>
      <c r="K24" s="72"/>
      <c r="L24" s="71"/>
      <c r="M24" s="72"/>
      <c r="N24" s="71"/>
      <c r="O24" s="72"/>
      <c r="P24" s="71"/>
      <c r="Q24" s="72"/>
      <c r="R24" s="71"/>
      <c r="S24" s="72"/>
      <c r="T24" s="71"/>
      <c r="U24" s="72"/>
      <c r="V24" s="71"/>
      <c r="W24" s="72"/>
      <c r="X24" s="71"/>
      <c r="Y24" s="72"/>
      <c r="Z24" s="71"/>
      <c r="AA24" s="72"/>
      <c r="AB24" s="71"/>
      <c r="AC24" s="72"/>
      <c r="AD24" s="71"/>
      <c r="AE24" s="284"/>
      <c r="AF24" s="291"/>
      <c r="AG24" s="291"/>
      <c r="AH24" s="288"/>
      <c r="AI24" s="72"/>
      <c r="AJ24" s="71"/>
      <c r="AK24" s="72"/>
      <c r="AL24" s="71"/>
      <c r="AM24" s="72"/>
      <c r="AN24" s="15">
        <f t="shared" si="4"/>
        <v>0</v>
      </c>
      <c r="AO24" s="15">
        <f t="shared" si="5"/>
        <v>0</v>
      </c>
    </row>
    <row r="25" spans="1:41" ht="15.75" thickBot="1" x14ac:dyDescent="0.25">
      <c r="A25" s="409"/>
      <c r="B25" s="40">
        <f t="shared" si="6"/>
        <v>0</v>
      </c>
      <c r="C25" s="70"/>
      <c r="D25" s="42"/>
      <c r="E25" s="42"/>
      <c r="F25" s="42"/>
      <c r="G25" s="42"/>
      <c r="H25" s="73"/>
      <c r="I25" s="74"/>
      <c r="J25" s="73"/>
      <c r="K25" s="74"/>
      <c r="L25" s="73"/>
      <c r="M25" s="74"/>
      <c r="N25" s="73"/>
      <c r="O25" s="74"/>
      <c r="P25" s="73"/>
      <c r="Q25" s="74"/>
      <c r="R25" s="73"/>
      <c r="S25" s="74"/>
      <c r="T25" s="73"/>
      <c r="U25" s="74"/>
      <c r="V25" s="73"/>
      <c r="W25" s="74"/>
      <c r="X25" s="73"/>
      <c r="Y25" s="74"/>
      <c r="Z25" s="73"/>
      <c r="AA25" s="74"/>
      <c r="AB25" s="73"/>
      <c r="AC25" s="74"/>
      <c r="AD25" s="73"/>
      <c r="AE25" s="285"/>
      <c r="AF25" s="307"/>
      <c r="AG25" s="307"/>
      <c r="AH25" s="289"/>
      <c r="AI25" s="74"/>
      <c r="AJ25" s="73"/>
      <c r="AK25" s="74"/>
      <c r="AL25" s="73"/>
      <c r="AM25" s="74"/>
      <c r="AN25" s="15">
        <f t="shared" si="4"/>
        <v>0</v>
      </c>
      <c r="AO25" s="15">
        <f t="shared" si="5"/>
        <v>0</v>
      </c>
    </row>
    <row r="26" spans="1:41" ht="15.75" thickBot="1" x14ac:dyDescent="0.25">
      <c r="A26" s="409"/>
      <c r="B26" s="394" t="s">
        <v>56</v>
      </c>
      <c r="C26" s="395"/>
      <c r="D26" s="395"/>
      <c r="E26" s="395"/>
      <c r="F26" s="395"/>
      <c r="G26" s="396"/>
      <c r="H26" s="95">
        <f t="shared" ref="H26:AM26" si="7">SUM(H16:H25)</f>
        <v>0</v>
      </c>
      <c r="I26" s="96">
        <f t="shared" si="7"/>
        <v>0</v>
      </c>
      <c r="J26" s="95">
        <f t="shared" si="7"/>
        <v>0</v>
      </c>
      <c r="K26" s="96">
        <f t="shared" si="7"/>
        <v>0</v>
      </c>
      <c r="L26" s="95">
        <f t="shared" si="7"/>
        <v>0</v>
      </c>
      <c r="M26" s="96">
        <f t="shared" si="7"/>
        <v>0</v>
      </c>
      <c r="N26" s="95">
        <f t="shared" si="7"/>
        <v>0</v>
      </c>
      <c r="O26" s="96">
        <f t="shared" si="7"/>
        <v>0</v>
      </c>
      <c r="P26" s="95">
        <f t="shared" si="7"/>
        <v>0</v>
      </c>
      <c r="Q26" s="96">
        <f t="shared" si="7"/>
        <v>0</v>
      </c>
      <c r="R26" s="95">
        <f t="shared" si="7"/>
        <v>0</v>
      </c>
      <c r="S26" s="96">
        <f t="shared" si="7"/>
        <v>0</v>
      </c>
      <c r="T26" s="95">
        <f t="shared" si="7"/>
        <v>0</v>
      </c>
      <c r="U26" s="96">
        <f t="shared" si="7"/>
        <v>0</v>
      </c>
      <c r="V26" s="95">
        <f t="shared" si="7"/>
        <v>0</v>
      </c>
      <c r="W26" s="96">
        <f t="shared" si="7"/>
        <v>0</v>
      </c>
      <c r="X26" s="95">
        <f t="shared" si="7"/>
        <v>0</v>
      </c>
      <c r="Y26" s="96">
        <f t="shared" si="7"/>
        <v>0</v>
      </c>
      <c r="Z26" s="95">
        <f t="shared" si="7"/>
        <v>0</v>
      </c>
      <c r="AA26" s="96">
        <f t="shared" si="7"/>
        <v>0</v>
      </c>
      <c r="AB26" s="95">
        <f t="shared" si="7"/>
        <v>0</v>
      </c>
      <c r="AC26" s="96">
        <f t="shared" si="7"/>
        <v>0</v>
      </c>
      <c r="AD26" s="95">
        <f t="shared" si="7"/>
        <v>0</v>
      </c>
      <c r="AE26" s="294">
        <f t="shared" si="7"/>
        <v>0</v>
      </c>
      <c r="AF26" s="293"/>
      <c r="AG26" s="293"/>
      <c r="AH26" s="301">
        <f t="shared" si="7"/>
        <v>0</v>
      </c>
      <c r="AI26" s="96">
        <f t="shared" si="7"/>
        <v>0</v>
      </c>
      <c r="AJ26" s="95">
        <f t="shared" si="7"/>
        <v>0</v>
      </c>
      <c r="AK26" s="96">
        <f t="shared" si="7"/>
        <v>0</v>
      </c>
      <c r="AL26" s="95">
        <f t="shared" si="7"/>
        <v>0</v>
      </c>
      <c r="AM26" s="96">
        <f t="shared" si="7"/>
        <v>0</v>
      </c>
      <c r="AN26" s="277">
        <f>SUM(AN16:AN25)</f>
        <v>0</v>
      </c>
      <c r="AO26" s="277">
        <f>SUM(AO16:AO25)</f>
        <v>0</v>
      </c>
    </row>
    <row r="27" spans="1:41" s="102" customFormat="1" ht="15" thickBot="1" x14ac:dyDescent="0.25">
      <c r="A27" s="359" t="s">
        <v>34</v>
      </c>
      <c r="B27" s="360"/>
      <c r="C27" s="360"/>
      <c r="D27" s="360"/>
      <c r="E27" s="360"/>
      <c r="F27" s="360"/>
      <c r="G27" s="361"/>
      <c r="H27" s="93">
        <f t="shared" ref="H27:AM27" si="8">H15+H26</f>
        <v>0</v>
      </c>
      <c r="I27" s="94">
        <f>I15+I26</f>
        <v>0</v>
      </c>
      <c r="J27" s="93">
        <f t="shared" si="8"/>
        <v>0</v>
      </c>
      <c r="K27" s="94">
        <f t="shared" si="8"/>
        <v>0</v>
      </c>
      <c r="L27" s="93">
        <f t="shared" si="8"/>
        <v>0</v>
      </c>
      <c r="M27" s="94">
        <f t="shared" si="8"/>
        <v>0</v>
      </c>
      <c r="N27" s="93">
        <f t="shared" si="8"/>
        <v>0</v>
      </c>
      <c r="O27" s="94">
        <f t="shared" si="8"/>
        <v>0</v>
      </c>
      <c r="P27" s="93">
        <f t="shared" si="8"/>
        <v>0</v>
      </c>
      <c r="Q27" s="94">
        <f t="shared" si="8"/>
        <v>0</v>
      </c>
      <c r="R27" s="93">
        <f t="shared" si="8"/>
        <v>0</v>
      </c>
      <c r="S27" s="94">
        <f t="shared" si="8"/>
        <v>0</v>
      </c>
      <c r="T27" s="93">
        <f t="shared" si="8"/>
        <v>0</v>
      </c>
      <c r="U27" s="94">
        <f t="shared" si="8"/>
        <v>0</v>
      </c>
      <c r="V27" s="93">
        <f t="shared" si="8"/>
        <v>0</v>
      </c>
      <c r="W27" s="94">
        <f t="shared" si="8"/>
        <v>0</v>
      </c>
      <c r="X27" s="93">
        <f t="shared" si="8"/>
        <v>0</v>
      </c>
      <c r="Y27" s="94">
        <f t="shared" si="8"/>
        <v>0</v>
      </c>
      <c r="Z27" s="93">
        <f t="shared" si="8"/>
        <v>0</v>
      </c>
      <c r="AA27" s="94">
        <f t="shared" si="8"/>
        <v>0</v>
      </c>
      <c r="AB27" s="93">
        <f t="shared" si="8"/>
        <v>0</v>
      </c>
      <c r="AC27" s="94">
        <f t="shared" si="8"/>
        <v>0</v>
      </c>
      <c r="AD27" s="93">
        <f t="shared" si="8"/>
        <v>0</v>
      </c>
      <c r="AE27" s="297">
        <f t="shared" si="8"/>
        <v>0</v>
      </c>
      <c r="AF27" s="306"/>
      <c r="AG27" s="306"/>
      <c r="AH27" s="304">
        <f t="shared" si="8"/>
        <v>0</v>
      </c>
      <c r="AI27" s="94">
        <f t="shared" si="8"/>
        <v>0</v>
      </c>
      <c r="AJ27" s="93">
        <f t="shared" si="8"/>
        <v>0</v>
      </c>
      <c r="AK27" s="94">
        <f>AK15+AK26</f>
        <v>0</v>
      </c>
      <c r="AL27" s="93">
        <f t="shared" si="8"/>
        <v>0</v>
      </c>
      <c r="AM27" s="94">
        <f t="shared" si="8"/>
        <v>0</v>
      </c>
      <c r="AN27" s="278">
        <f>SUM(AN15:AN26)</f>
        <v>0</v>
      </c>
      <c r="AO27" s="278">
        <f>SUM(AO15:AO26)</f>
        <v>0</v>
      </c>
    </row>
    <row r="28" spans="1:41" ht="13.5" thickBot="1" x14ac:dyDescent="0.25">
      <c r="A28" s="356" t="s">
        <v>10</v>
      </c>
      <c r="B28" s="127">
        <f>IF(C28=0,0,1)</f>
        <v>0</v>
      </c>
      <c r="C28" s="170"/>
      <c r="D28" s="129"/>
      <c r="E28" s="129"/>
      <c r="F28" s="122"/>
      <c r="G28" s="123"/>
      <c r="H28" s="148"/>
      <c r="I28" s="149"/>
      <c r="J28" s="148"/>
      <c r="K28" s="149"/>
      <c r="L28" s="148"/>
      <c r="M28" s="149"/>
      <c r="N28" s="134"/>
      <c r="O28" s="149"/>
      <c r="P28" s="148"/>
      <c r="Q28" s="149"/>
      <c r="R28" s="133"/>
      <c r="S28" s="133"/>
      <c r="T28" s="148"/>
      <c r="U28" s="149"/>
      <c r="V28" s="148"/>
      <c r="W28" s="149"/>
      <c r="X28" s="133"/>
      <c r="Y28" s="149"/>
      <c r="Z28" s="148"/>
      <c r="AA28" s="149"/>
      <c r="AB28" s="133"/>
      <c r="AC28" s="132"/>
      <c r="AD28" s="133"/>
      <c r="AE28" s="282"/>
      <c r="AF28" s="292"/>
      <c r="AG28" s="292"/>
      <c r="AH28" s="299"/>
      <c r="AI28" s="132"/>
      <c r="AJ28" s="133"/>
      <c r="AK28" s="132"/>
      <c r="AL28" s="131"/>
      <c r="AM28" s="132"/>
      <c r="AN28" s="15">
        <f t="shared" si="4"/>
        <v>0</v>
      </c>
      <c r="AO28" s="15">
        <f t="shared" si="4"/>
        <v>0</v>
      </c>
    </row>
    <row r="29" spans="1:41" ht="13.5" thickBot="1" x14ac:dyDescent="0.25">
      <c r="A29" s="357"/>
      <c r="B29" s="127">
        <f>IF(C29=0,0,B28+1)</f>
        <v>0</v>
      </c>
      <c r="C29" s="170"/>
      <c r="D29" s="129"/>
      <c r="E29" s="129"/>
      <c r="F29" s="125"/>
      <c r="G29" s="123"/>
      <c r="H29" s="150"/>
      <c r="I29" s="133"/>
      <c r="J29" s="151"/>
      <c r="K29" s="152"/>
      <c r="L29" s="153"/>
      <c r="M29" s="152"/>
      <c r="N29" s="133"/>
      <c r="O29" s="152"/>
      <c r="P29" s="153"/>
      <c r="Q29" s="152"/>
      <c r="R29" s="133"/>
      <c r="S29" s="133"/>
      <c r="T29" s="153"/>
      <c r="U29" s="152"/>
      <c r="V29" s="153"/>
      <c r="W29" s="152"/>
      <c r="X29" s="133"/>
      <c r="Y29" s="152"/>
      <c r="Z29" s="153"/>
      <c r="AA29" s="152"/>
      <c r="AB29" s="133"/>
      <c r="AC29" s="139"/>
      <c r="AD29" s="133"/>
      <c r="AE29" s="283"/>
      <c r="AF29" s="290"/>
      <c r="AG29" s="290"/>
      <c r="AH29" s="287"/>
      <c r="AI29" s="139"/>
      <c r="AJ29" s="133"/>
      <c r="AK29" s="139"/>
      <c r="AL29" s="138"/>
      <c r="AM29" s="139"/>
      <c r="AN29" s="15">
        <f t="shared" si="4"/>
        <v>0</v>
      </c>
      <c r="AO29" s="15">
        <f t="shared" si="5"/>
        <v>0</v>
      </c>
    </row>
    <row r="30" spans="1:41" ht="13.5" thickBot="1" x14ac:dyDescent="0.25">
      <c r="A30" s="357"/>
      <c r="B30" s="127">
        <f t="shared" ref="B30:B37" si="9">IF(C30=0,0,B29+1)</f>
        <v>0</v>
      </c>
      <c r="C30" s="170"/>
      <c r="D30" s="129"/>
      <c r="E30" s="129"/>
      <c r="F30" s="126"/>
      <c r="G30" s="123"/>
      <c r="H30" s="150"/>
      <c r="I30" s="133"/>
      <c r="J30" s="133"/>
      <c r="K30" s="152"/>
      <c r="L30" s="153"/>
      <c r="M30" s="152"/>
      <c r="N30" s="133"/>
      <c r="O30" s="152"/>
      <c r="P30" s="153"/>
      <c r="Q30" s="152"/>
      <c r="R30" s="133"/>
      <c r="S30" s="133"/>
      <c r="T30" s="153"/>
      <c r="U30" s="152"/>
      <c r="V30" s="153"/>
      <c r="W30" s="152"/>
      <c r="X30" s="133"/>
      <c r="Y30" s="152"/>
      <c r="Z30" s="153"/>
      <c r="AA30" s="152"/>
      <c r="AB30" s="133"/>
      <c r="AC30" s="139"/>
      <c r="AD30" s="133"/>
      <c r="AE30" s="283"/>
      <c r="AF30" s="290"/>
      <c r="AG30" s="290"/>
      <c r="AH30" s="287"/>
      <c r="AI30" s="139"/>
      <c r="AJ30" s="133"/>
      <c r="AK30" s="139"/>
      <c r="AL30" s="138"/>
      <c r="AM30" s="139"/>
      <c r="AN30" s="15">
        <f t="shared" si="4"/>
        <v>0</v>
      </c>
      <c r="AO30" s="15">
        <f t="shared" si="5"/>
        <v>0</v>
      </c>
    </row>
    <row r="31" spans="1:41" ht="13.5" thickBot="1" x14ac:dyDescent="0.25">
      <c r="A31" s="357"/>
      <c r="B31" s="127">
        <f t="shared" si="9"/>
        <v>0</v>
      </c>
      <c r="C31" s="170"/>
      <c r="D31" s="129"/>
      <c r="E31" s="129"/>
      <c r="F31" s="126"/>
      <c r="G31" s="123"/>
      <c r="H31" s="150"/>
      <c r="I31" s="133"/>
      <c r="J31" s="133"/>
      <c r="K31" s="152"/>
      <c r="L31" s="153"/>
      <c r="M31" s="152"/>
      <c r="N31" s="133"/>
      <c r="O31" s="152"/>
      <c r="P31" s="153"/>
      <c r="Q31" s="152"/>
      <c r="R31" s="133"/>
      <c r="S31" s="133"/>
      <c r="T31" s="153"/>
      <c r="U31" s="152"/>
      <c r="V31" s="153"/>
      <c r="W31" s="152"/>
      <c r="X31" s="133"/>
      <c r="Y31" s="152"/>
      <c r="Z31" s="153"/>
      <c r="AA31" s="152"/>
      <c r="AB31" s="133"/>
      <c r="AC31" s="139"/>
      <c r="AD31" s="133"/>
      <c r="AE31" s="283"/>
      <c r="AF31" s="290"/>
      <c r="AG31" s="290"/>
      <c r="AH31" s="287"/>
      <c r="AI31" s="139"/>
      <c r="AJ31" s="133"/>
      <c r="AK31" s="139"/>
      <c r="AL31" s="138"/>
      <c r="AM31" s="139"/>
      <c r="AN31" s="15">
        <f t="shared" si="4"/>
        <v>0</v>
      </c>
      <c r="AO31" s="15">
        <f t="shared" si="5"/>
        <v>0</v>
      </c>
    </row>
    <row r="32" spans="1:41" ht="13.5" thickBot="1" x14ac:dyDescent="0.25">
      <c r="A32" s="357"/>
      <c r="B32" s="127">
        <f t="shared" si="9"/>
        <v>0</v>
      </c>
      <c r="C32" s="170"/>
      <c r="D32" s="129"/>
      <c r="E32" s="129"/>
      <c r="F32" s="126"/>
      <c r="G32" s="123"/>
      <c r="H32" s="150"/>
      <c r="I32" s="133"/>
      <c r="J32" s="133"/>
      <c r="K32" s="152"/>
      <c r="L32" s="153"/>
      <c r="M32" s="152"/>
      <c r="N32" s="133"/>
      <c r="O32" s="152"/>
      <c r="P32" s="153"/>
      <c r="Q32" s="152"/>
      <c r="R32" s="133"/>
      <c r="S32" s="133"/>
      <c r="T32" s="153"/>
      <c r="U32" s="152"/>
      <c r="V32" s="153"/>
      <c r="W32" s="152"/>
      <c r="X32" s="133"/>
      <c r="Y32" s="152"/>
      <c r="Z32" s="153"/>
      <c r="AA32" s="152"/>
      <c r="AB32" s="133"/>
      <c r="AC32" s="139"/>
      <c r="AD32" s="133"/>
      <c r="AE32" s="283"/>
      <c r="AF32" s="290"/>
      <c r="AG32" s="290"/>
      <c r="AH32" s="287"/>
      <c r="AI32" s="139"/>
      <c r="AJ32" s="133"/>
      <c r="AK32" s="139"/>
      <c r="AL32" s="138"/>
      <c r="AM32" s="139"/>
      <c r="AN32" s="15">
        <f t="shared" si="4"/>
        <v>0</v>
      </c>
      <c r="AO32" s="15">
        <f t="shared" si="5"/>
        <v>0</v>
      </c>
    </row>
    <row r="33" spans="1:41" ht="13.5" thickBot="1" x14ac:dyDescent="0.25">
      <c r="A33" s="357"/>
      <c r="B33" s="127">
        <f t="shared" si="9"/>
        <v>0</v>
      </c>
      <c r="C33" s="170"/>
      <c r="D33" s="129"/>
      <c r="E33" s="129"/>
      <c r="F33" s="126"/>
      <c r="G33" s="123"/>
      <c r="H33" s="154"/>
      <c r="I33" s="134"/>
      <c r="J33" s="153"/>
      <c r="K33" s="152"/>
      <c r="L33" s="153"/>
      <c r="M33" s="152"/>
      <c r="N33" s="134"/>
      <c r="O33" s="152"/>
      <c r="P33" s="153"/>
      <c r="Q33" s="152"/>
      <c r="R33" s="133"/>
      <c r="S33" s="133"/>
      <c r="T33" s="153"/>
      <c r="U33" s="152"/>
      <c r="V33" s="153"/>
      <c r="W33" s="152"/>
      <c r="X33" s="133"/>
      <c r="Y33" s="152"/>
      <c r="Z33" s="153"/>
      <c r="AA33" s="152"/>
      <c r="AB33" s="133"/>
      <c r="AC33" s="139"/>
      <c r="AD33" s="133"/>
      <c r="AE33" s="283"/>
      <c r="AF33" s="290"/>
      <c r="AG33" s="290"/>
      <c r="AH33" s="287"/>
      <c r="AI33" s="139"/>
      <c r="AJ33" s="133"/>
      <c r="AK33" s="139"/>
      <c r="AL33" s="138"/>
      <c r="AM33" s="139"/>
      <c r="AN33" s="15">
        <f t="shared" si="4"/>
        <v>0</v>
      </c>
      <c r="AO33" s="15">
        <f t="shared" si="5"/>
        <v>0</v>
      </c>
    </row>
    <row r="34" spans="1:41" ht="15.75" thickBot="1" x14ac:dyDescent="0.25">
      <c r="A34" s="357"/>
      <c r="B34" s="127">
        <f t="shared" si="9"/>
        <v>0</v>
      </c>
      <c r="C34" s="155"/>
      <c r="D34" s="129"/>
      <c r="E34" s="129"/>
      <c r="F34" s="44"/>
      <c r="G34" s="44"/>
      <c r="H34" s="154"/>
      <c r="I34" s="134"/>
      <c r="J34" s="138"/>
      <c r="K34" s="139"/>
      <c r="L34" s="138"/>
      <c r="M34" s="139"/>
      <c r="N34" s="134"/>
      <c r="O34" s="139"/>
      <c r="P34" s="138"/>
      <c r="Q34" s="139"/>
      <c r="R34" s="133"/>
      <c r="S34" s="133"/>
      <c r="T34" s="138"/>
      <c r="U34" s="139"/>
      <c r="V34" s="138"/>
      <c r="W34" s="139"/>
      <c r="X34" s="138"/>
      <c r="Y34" s="139"/>
      <c r="Z34" s="138"/>
      <c r="AA34" s="139"/>
      <c r="AB34" s="133"/>
      <c r="AC34" s="139"/>
      <c r="AD34" s="133"/>
      <c r="AE34" s="283"/>
      <c r="AF34" s="290"/>
      <c r="AG34" s="290"/>
      <c r="AH34" s="287"/>
      <c r="AI34" s="139"/>
      <c r="AJ34" s="133"/>
      <c r="AK34" s="139"/>
      <c r="AL34" s="138"/>
      <c r="AM34" s="139"/>
      <c r="AN34" s="15">
        <f t="shared" si="4"/>
        <v>0</v>
      </c>
      <c r="AO34" s="15">
        <f t="shared" si="5"/>
        <v>0</v>
      </c>
    </row>
    <row r="35" spans="1:41" ht="15.75" thickBot="1" x14ac:dyDescent="0.25">
      <c r="A35" s="357"/>
      <c r="B35" s="127">
        <f t="shared" si="9"/>
        <v>0</v>
      </c>
      <c r="C35" s="170"/>
      <c r="D35" s="129"/>
      <c r="E35" s="129"/>
      <c r="F35" s="44"/>
      <c r="G35" s="44"/>
      <c r="H35" s="154"/>
      <c r="I35" s="134"/>
      <c r="J35" s="138"/>
      <c r="K35" s="139"/>
      <c r="L35" s="138"/>
      <c r="M35" s="139"/>
      <c r="N35" s="134"/>
      <c r="O35" s="139"/>
      <c r="P35" s="138"/>
      <c r="Q35" s="139"/>
      <c r="R35" s="133"/>
      <c r="S35" s="133"/>
      <c r="T35" s="138"/>
      <c r="U35" s="139"/>
      <c r="V35" s="138"/>
      <c r="W35" s="139"/>
      <c r="X35" s="138"/>
      <c r="Y35" s="139"/>
      <c r="Z35" s="138"/>
      <c r="AA35" s="139"/>
      <c r="AB35" s="133"/>
      <c r="AC35" s="139"/>
      <c r="AD35" s="133"/>
      <c r="AE35" s="283"/>
      <c r="AF35" s="290"/>
      <c r="AG35" s="290"/>
      <c r="AH35" s="287"/>
      <c r="AI35" s="139"/>
      <c r="AJ35" s="133"/>
      <c r="AK35" s="139"/>
      <c r="AL35" s="138"/>
      <c r="AM35" s="139"/>
      <c r="AN35" s="15">
        <f t="shared" si="4"/>
        <v>0</v>
      </c>
      <c r="AO35" s="15">
        <f t="shared" si="5"/>
        <v>0</v>
      </c>
    </row>
    <row r="36" spans="1:41" ht="15.75" thickBot="1" x14ac:dyDescent="0.25">
      <c r="A36" s="357"/>
      <c r="B36" s="127">
        <f t="shared" si="9"/>
        <v>0</v>
      </c>
      <c r="C36" s="170"/>
      <c r="D36" s="129"/>
      <c r="E36" s="129"/>
      <c r="F36" s="44"/>
      <c r="G36" s="44"/>
      <c r="H36" s="154"/>
      <c r="I36" s="134"/>
      <c r="J36" s="138"/>
      <c r="K36" s="139"/>
      <c r="L36" s="138"/>
      <c r="M36" s="139"/>
      <c r="N36" s="134"/>
      <c r="O36" s="139"/>
      <c r="P36" s="138"/>
      <c r="Q36" s="139"/>
      <c r="R36" s="133"/>
      <c r="S36" s="133"/>
      <c r="T36" s="138"/>
      <c r="U36" s="139"/>
      <c r="V36" s="138"/>
      <c r="W36" s="139"/>
      <c r="X36" s="138"/>
      <c r="Y36" s="139"/>
      <c r="Z36" s="138"/>
      <c r="AA36" s="139"/>
      <c r="AB36" s="133"/>
      <c r="AC36" s="139"/>
      <c r="AD36" s="133"/>
      <c r="AE36" s="283"/>
      <c r="AF36" s="290"/>
      <c r="AG36" s="290"/>
      <c r="AH36" s="287"/>
      <c r="AI36" s="139"/>
      <c r="AJ36" s="133"/>
      <c r="AK36" s="139"/>
      <c r="AL36" s="138"/>
      <c r="AM36" s="139"/>
      <c r="AN36" s="15">
        <f t="shared" si="4"/>
        <v>0</v>
      </c>
      <c r="AO36" s="15">
        <f t="shared" si="5"/>
        <v>0</v>
      </c>
    </row>
    <row r="37" spans="1:41" ht="15.75" thickBot="1" x14ac:dyDescent="0.25">
      <c r="A37" s="357"/>
      <c r="B37" s="127">
        <f t="shared" si="9"/>
        <v>0</v>
      </c>
      <c r="C37" s="274"/>
      <c r="D37" s="84"/>
      <c r="E37" s="84"/>
      <c r="F37" s="84"/>
      <c r="G37" s="84"/>
      <c r="H37" s="156"/>
      <c r="I37" s="157"/>
      <c r="J37" s="156"/>
      <c r="K37" s="157"/>
      <c r="L37" s="156"/>
      <c r="M37" s="157"/>
      <c r="N37" s="156"/>
      <c r="O37" s="157"/>
      <c r="P37" s="156"/>
      <c r="Q37" s="157"/>
      <c r="R37" s="156"/>
      <c r="S37" s="157"/>
      <c r="T37" s="156"/>
      <c r="U37" s="157"/>
      <c r="V37" s="156"/>
      <c r="W37" s="157"/>
      <c r="X37" s="156"/>
      <c r="Y37" s="157"/>
      <c r="Z37" s="156"/>
      <c r="AA37" s="157"/>
      <c r="AB37" s="156"/>
      <c r="AC37" s="157"/>
      <c r="AD37" s="156"/>
      <c r="AE37" s="298"/>
      <c r="AF37" s="310"/>
      <c r="AG37" s="310"/>
      <c r="AH37" s="305"/>
      <c r="AI37" s="157"/>
      <c r="AJ37" s="156"/>
      <c r="AK37" s="157"/>
      <c r="AL37" s="156"/>
      <c r="AM37" s="157"/>
      <c r="AN37" s="15">
        <f t="shared" si="4"/>
        <v>0</v>
      </c>
      <c r="AO37" s="15">
        <f t="shared" si="5"/>
        <v>0</v>
      </c>
    </row>
    <row r="38" spans="1:41" ht="15.75" thickBot="1" x14ac:dyDescent="0.25">
      <c r="A38" s="358"/>
      <c r="B38" s="370" t="s">
        <v>57</v>
      </c>
      <c r="C38" s="371"/>
      <c r="D38" s="371"/>
      <c r="E38" s="371"/>
      <c r="F38" s="371"/>
      <c r="G38" s="372"/>
      <c r="H38" s="95">
        <f t="shared" ref="H38:AM38" si="10">SUM(H28:H37)</f>
        <v>0</v>
      </c>
      <c r="I38" s="96">
        <f t="shared" si="10"/>
        <v>0</v>
      </c>
      <c r="J38" s="95">
        <f t="shared" si="10"/>
        <v>0</v>
      </c>
      <c r="K38" s="96">
        <f t="shared" si="10"/>
        <v>0</v>
      </c>
      <c r="L38" s="95">
        <f t="shared" si="10"/>
        <v>0</v>
      </c>
      <c r="M38" s="96">
        <f t="shared" si="10"/>
        <v>0</v>
      </c>
      <c r="N38" s="95">
        <f t="shared" si="10"/>
        <v>0</v>
      </c>
      <c r="O38" s="96">
        <f t="shared" si="10"/>
        <v>0</v>
      </c>
      <c r="P38" s="95">
        <f t="shared" si="10"/>
        <v>0</v>
      </c>
      <c r="Q38" s="96">
        <f t="shared" si="10"/>
        <v>0</v>
      </c>
      <c r="R38" s="95">
        <f t="shared" si="10"/>
        <v>0</v>
      </c>
      <c r="S38" s="96">
        <f t="shared" si="10"/>
        <v>0</v>
      </c>
      <c r="T38" s="95">
        <f t="shared" si="10"/>
        <v>0</v>
      </c>
      <c r="U38" s="96">
        <f t="shared" si="10"/>
        <v>0</v>
      </c>
      <c r="V38" s="95">
        <f t="shared" si="10"/>
        <v>0</v>
      </c>
      <c r="W38" s="96">
        <f t="shared" si="10"/>
        <v>0</v>
      </c>
      <c r="X38" s="95">
        <f t="shared" si="10"/>
        <v>0</v>
      </c>
      <c r="Y38" s="96">
        <f t="shared" si="10"/>
        <v>0</v>
      </c>
      <c r="Z38" s="95">
        <f t="shared" si="10"/>
        <v>0</v>
      </c>
      <c r="AA38" s="96">
        <f t="shared" si="10"/>
        <v>0</v>
      </c>
      <c r="AB38" s="95">
        <f t="shared" si="10"/>
        <v>0</v>
      </c>
      <c r="AC38" s="96">
        <f t="shared" si="10"/>
        <v>0</v>
      </c>
      <c r="AD38" s="95">
        <f t="shared" si="10"/>
        <v>0</v>
      </c>
      <c r="AE38" s="294">
        <f t="shared" si="10"/>
        <v>0</v>
      </c>
      <c r="AF38" s="293"/>
      <c r="AG38" s="293"/>
      <c r="AH38" s="301">
        <f t="shared" si="10"/>
        <v>0</v>
      </c>
      <c r="AI38" s="96">
        <f t="shared" si="10"/>
        <v>0</v>
      </c>
      <c r="AJ38" s="95">
        <f t="shared" si="10"/>
        <v>0</v>
      </c>
      <c r="AK38" s="96">
        <f t="shared" si="10"/>
        <v>0</v>
      </c>
      <c r="AL38" s="95">
        <f t="shared" si="10"/>
        <v>0</v>
      </c>
      <c r="AM38" s="96">
        <f t="shared" si="10"/>
        <v>0</v>
      </c>
      <c r="AN38" s="277">
        <f>SUM(AN28:AN37)</f>
        <v>0</v>
      </c>
      <c r="AO38" s="277">
        <f>SUM(AO28:AO37)</f>
        <v>0</v>
      </c>
    </row>
    <row r="39" spans="1:41" ht="15.75" thickBot="1" x14ac:dyDescent="0.25">
      <c r="A39" s="367" t="s">
        <v>31</v>
      </c>
      <c r="B39" s="44">
        <f>IF(C39=0,0,1)</f>
        <v>0</v>
      </c>
      <c r="C39" s="170"/>
      <c r="D39" s="158"/>
      <c r="E39" s="144"/>
      <c r="F39" s="144"/>
      <c r="G39" s="112"/>
      <c r="H39" s="131"/>
      <c r="I39" s="132"/>
      <c r="J39" s="146"/>
      <c r="K39" s="132"/>
      <c r="L39" s="131"/>
      <c r="M39" s="132"/>
      <c r="N39" s="131"/>
      <c r="O39" s="132"/>
      <c r="P39" s="131"/>
      <c r="Q39" s="132"/>
      <c r="R39" s="131"/>
      <c r="S39" s="132"/>
      <c r="T39" s="131"/>
      <c r="U39" s="132"/>
      <c r="V39" s="131"/>
      <c r="W39" s="132"/>
      <c r="X39" s="159"/>
      <c r="Y39" s="132"/>
      <c r="Z39" s="131"/>
      <c r="AA39" s="132"/>
      <c r="AB39" s="159"/>
      <c r="AC39" s="132"/>
      <c r="AD39" s="131"/>
      <c r="AE39" s="282"/>
      <c r="AF39" s="292"/>
      <c r="AG39" s="292"/>
      <c r="AH39" s="286"/>
      <c r="AI39" s="132"/>
      <c r="AJ39" s="131"/>
      <c r="AK39" s="132"/>
      <c r="AL39" s="131"/>
      <c r="AM39" s="132"/>
      <c r="AN39" s="15">
        <f t="shared" si="4"/>
        <v>0</v>
      </c>
      <c r="AO39" s="15">
        <f t="shared" si="5"/>
        <v>0</v>
      </c>
    </row>
    <row r="40" spans="1:41" ht="15.75" thickBot="1" x14ac:dyDescent="0.25">
      <c r="A40" s="368"/>
      <c r="B40" s="40">
        <f>IF(C40=0,0,B39+1)</f>
        <v>0</v>
      </c>
      <c r="C40" s="160"/>
      <c r="D40" s="158"/>
      <c r="E40" s="144"/>
      <c r="F40" s="147"/>
      <c r="G40" s="112"/>
      <c r="H40" s="138"/>
      <c r="I40" s="139"/>
      <c r="J40" s="146"/>
      <c r="K40" s="139"/>
      <c r="L40" s="138"/>
      <c r="M40" s="139"/>
      <c r="N40" s="138"/>
      <c r="O40" s="139"/>
      <c r="P40" s="138"/>
      <c r="Q40" s="139"/>
      <c r="R40" s="138"/>
      <c r="S40" s="139"/>
      <c r="T40" s="138"/>
      <c r="U40" s="139"/>
      <c r="V40" s="138"/>
      <c r="W40" s="139"/>
      <c r="X40" s="146"/>
      <c r="Y40" s="139"/>
      <c r="Z40" s="138"/>
      <c r="AA40" s="139"/>
      <c r="AB40" s="146"/>
      <c r="AC40" s="139"/>
      <c r="AD40" s="138"/>
      <c r="AE40" s="283"/>
      <c r="AF40" s="290"/>
      <c r="AG40" s="290"/>
      <c r="AH40" s="281"/>
      <c r="AI40" s="139"/>
      <c r="AJ40" s="138"/>
      <c r="AK40" s="139"/>
      <c r="AL40" s="138"/>
      <c r="AM40" s="139"/>
      <c r="AN40" s="15">
        <f t="shared" si="4"/>
        <v>0</v>
      </c>
      <c r="AO40" s="15">
        <f t="shared" si="5"/>
        <v>0</v>
      </c>
    </row>
    <row r="41" spans="1:41" ht="15.75" thickBot="1" x14ac:dyDescent="0.25">
      <c r="A41" s="368"/>
      <c r="B41" s="40">
        <f t="shared" ref="B41:B48" si="11">IF(C41=0,0,B40+1)</f>
        <v>0</v>
      </c>
      <c r="C41" s="170"/>
      <c r="D41" s="158"/>
      <c r="E41" s="144"/>
      <c r="F41" s="147"/>
      <c r="G41" s="112"/>
      <c r="H41" s="138"/>
      <c r="I41" s="139"/>
      <c r="J41" s="146"/>
      <c r="K41" s="139"/>
      <c r="L41" s="138"/>
      <c r="M41" s="139"/>
      <c r="N41" s="138"/>
      <c r="O41" s="139"/>
      <c r="P41" s="138"/>
      <c r="Q41" s="139"/>
      <c r="R41" s="138"/>
      <c r="S41" s="139"/>
      <c r="T41" s="138"/>
      <c r="U41" s="139"/>
      <c r="V41" s="138"/>
      <c r="W41" s="139"/>
      <c r="X41" s="146"/>
      <c r="Y41" s="139"/>
      <c r="Z41" s="138"/>
      <c r="AA41" s="139"/>
      <c r="AB41" s="146"/>
      <c r="AC41" s="139"/>
      <c r="AD41" s="138"/>
      <c r="AE41" s="283"/>
      <c r="AF41" s="290"/>
      <c r="AG41" s="290"/>
      <c r="AH41" s="281"/>
      <c r="AI41" s="139"/>
      <c r="AJ41" s="138"/>
      <c r="AK41" s="139"/>
      <c r="AL41" s="138"/>
      <c r="AM41" s="139"/>
      <c r="AN41" s="15">
        <f t="shared" si="4"/>
        <v>0</v>
      </c>
      <c r="AO41" s="15">
        <f t="shared" si="5"/>
        <v>0</v>
      </c>
    </row>
    <row r="42" spans="1:41" ht="15.75" thickBot="1" x14ac:dyDescent="0.25">
      <c r="A42" s="368"/>
      <c r="B42" s="40">
        <f t="shared" si="11"/>
        <v>0</v>
      </c>
      <c r="C42" s="170"/>
      <c r="D42" s="158"/>
      <c r="E42" s="144"/>
      <c r="F42" s="147"/>
      <c r="G42" s="112"/>
      <c r="H42" s="138"/>
      <c r="I42" s="139"/>
      <c r="J42" s="146"/>
      <c r="K42" s="139"/>
      <c r="L42" s="138"/>
      <c r="M42" s="139"/>
      <c r="N42" s="138"/>
      <c r="O42" s="139"/>
      <c r="P42" s="138"/>
      <c r="Q42" s="139"/>
      <c r="R42" s="138"/>
      <c r="S42" s="139"/>
      <c r="T42" s="138"/>
      <c r="U42" s="139"/>
      <c r="V42" s="138"/>
      <c r="W42" s="139"/>
      <c r="X42" s="146"/>
      <c r="Y42" s="139"/>
      <c r="Z42" s="138"/>
      <c r="AA42" s="139"/>
      <c r="AB42" s="146"/>
      <c r="AC42" s="139"/>
      <c r="AD42" s="138"/>
      <c r="AE42" s="283"/>
      <c r="AF42" s="290"/>
      <c r="AG42" s="290"/>
      <c r="AH42" s="281"/>
      <c r="AI42" s="139"/>
      <c r="AJ42" s="138"/>
      <c r="AK42" s="139"/>
      <c r="AL42" s="138"/>
      <c r="AM42" s="139"/>
      <c r="AN42" s="15">
        <f t="shared" si="4"/>
        <v>0</v>
      </c>
      <c r="AO42" s="15">
        <f t="shared" si="5"/>
        <v>0</v>
      </c>
    </row>
    <row r="43" spans="1:41" ht="15.75" thickBot="1" x14ac:dyDescent="0.25">
      <c r="A43" s="368"/>
      <c r="B43" s="40">
        <f t="shared" si="11"/>
        <v>0</v>
      </c>
      <c r="C43" s="161"/>
      <c r="D43" s="158"/>
      <c r="E43" s="144"/>
      <c r="F43" s="147"/>
      <c r="G43" s="112"/>
      <c r="H43" s="138"/>
      <c r="I43" s="139"/>
      <c r="J43" s="162"/>
      <c r="K43" s="139"/>
      <c r="L43" s="138"/>
      <c r="M43" s="139"/>
      <c r="N43" s="138"/>
      <c r="O43" s="139"/>
      <c r="P43" s="138"/>
      <c r="Q43" s="139"/>
      <c r="R43" s="138"/>
      <c r="S43" s="139"/>
      <c r="T43" s="138"/>
      <c r="U43" s="139"/>
      <c r="V43" s="138"/>
      <c r="W43" s="139"/>
      <c r="X43" s="162"/>
      <c r="Y43" s="139"/>
      <c r="Z43" s="138"/>
      <c r="AA43" s="139"/>
      <c r="AB43" s="146"/>
      <c r="AC43" s="139"/>
      <c r="AD43" s="138"/>
      <c r="AE43" s="283"/>
      <c r="AF43" s="290"/>
      <c r="AG43" s="290"/>
      <c r="AH43" s="281"/>
      <c r="AI43" s="139"/>
      <c r="AJ43" s="138"/>
      <c r="AK43" s="139"/>
      <c r="AL43" s="138"/>
      <c r="AM43" s="139"/>
      <c r="AN43" s="15">
        <f t="shared" si="4"/>
        <v>0</v>
      </c>
      <c r="AO43" s="15">
        <f t="shared" si="5"/>
        <v>0</v>
      </c>
    </row>
    <row r="44" spans="1:41" ht="15.75" thickBot="1" x14ac:dyDescent="0.25">
      <c r="A44" s="368"/>
      <c r="B44" s="40">
        <f t="shared" si="11"/>
        <v>0</v>
      </c>
      <c r="C44" s="160"/>
      <c r="D44" s="158"/>
      <c r="E44" s="144"/>
      <c r="F44" s="163"/>
      <c r="G44" s="112"/>
      <c r="H44" s="138"/>
      <c r="I44" s="139"/>
      <c r="J44" s="146"/>
      <c r="K44" s="139"/>
      <c r="L44" s="138"/>
      <c r="M44" s="139"/>
      <c r="N44" s="138"/>
      <c r="O44" s="139"/>
      <c r="P44" s="138"/>
      <c r="Q44" s="139"/>
      <c r="R44" s="138"/>
      <c r="S44" s="139"/>
      <c r="T44" s="138"/>
      <c r="U44" s="139"/>
      <c r="V44" s="138"/>
      <c r="W44" s="139"/>
      <c r="X44" s="146"/>
      <c r="Y44" s="139"/>
      <c r="Z44" s="138"/>
      <c r="AA44" s="139"/>
      <c r="AB44" s="138"/>
      <c r="AC44" s="139"/>
      <c r="AD44" s="138"/>
      <c r="AE44" s="283"/>
      <c r="AF44" s="290"/>
      <c r="AG44" s="290"/>
      <c r="AH44" s="287"/>
      <c r="AI44" s="139"/>
      <c r="AJ44" s="138"/>
      <c r="AK44" s="139"/>
      <c r="AL44" s="138"/>
      <c r="AM44" s="139"/>
      <c r="AN44" s="15">
        <f t="shared" si="4"/>
        <v>0</v>
      </c>
      <c r="AO44" s="15">
        <f t="shared" si="5"/>
        <v>0</v>
      </c>
    </row>
    <row r="45" spans="1:41" ht="15.75" thickBot="1" x14ac:dyDescent="0.25">
      <c r="A45" s="368"/>
      <c r="B45" s="40">
        <f t="shared" si="11"/>
        <v>0</v>
      </c>
      <c r="C45" s="234"/>
      <c r="D45" s="40"/>
      <c r="E45" s="40"/>
      <c r="F45" s="40"/>
      <c r="G45" s="40"/>
      <c r="H45" s="71"/>
      <c r="I45" s="72"/>
      <c r="J45" s="71"/>
      <c r="K45" s="72"/>
      <c r="L45" s="71"/>
      <c r="M45" s="72"/>
      <c r="N45" s="71"/>
      <c r="O45" s="72"/>
      <c r="P45" s="71"/>
      <c r="Q45" s="72"/>
      <c r="R45" s="71"/>
      <c r="S45" s="72"/>
      <c r="T45" s="71"/>
      <c r="U45" s="72"/>
      <c r="V45" s="71"/>
      <c r="W45" s="72"/>
      <c r="X45" s="71"/>
      <c r="Y45" s="72"/>
      <c r="Z45" s="71"/>
      <c r="AA45" s="72"/>
      <c r="AB45" s="71"/>
      <c r="AC45" s="72"/>
      <c r="AD45" s="71"/>
      <c r="AE45" s="284"/>
      <c r="AF45" s="291"/>
      <c r="AG45" s="291"/>
      <c r="AH45" s="288"/>
      <c r="AI45" s="72"/>
      <c r="AJ45" s="71"/>
      <c r="AK45" s="72"/>
      <c r="AL45" s="71"/>
      <c r="AM45" s="72"/>
      <c r="AN45" s="15">
        <f>H45+J45+L45+N45+P45+R45+T45+V45+X45+Z45+AB45+AD45+AF45+AH45+AJ45+AL45</f>
        <v>0</v>
      </c>
      <c r="AO45" s="15">
        <f>I45+K45+M45+O45+Q45+S45+U45+W45+Y45+AA45+AC45+AE45+AG45+AI45+AK45+AM45</f>
        <v>0</v>
      </c>
    </row>
    <row r="46" spans="1:41" ht="15.75" thickBot="1" x14ac:dyDescent="0.25">
      <c r="A46" s="368"/>
      <c r="B46" s="40">
        <f t="shared" si="11"/>
        <v>0</v>
      </c>
      <c r="C46" s="234"/>
      <c r="D46" s="40"/>
      <c r="E46" s="40"/>
      <c r="F46" s="40"/>
      <c r="G46" s="40"/>
      <c r="H46" s="71"/>
      <c r="I46" s="72"/>
      <c r="J46" s="71"/>
      <c r="K46" s="72"/>
      <c r="L46" s="71"/>
      <c r="M46" s="72"/>
      <c r="N46" s="71"/>
      <c r="O46" s="72"/>
      <c r="P46" s="71"/>
      <c r="Q46" s="72"/>
      <c r="R46" s="71"/>
      <c r="S46" s="72"/>
      <c r="T46" s="71"/>
      <c r="U46" s="72"/>
      <c r="V46" s="71"/>
      <c r="W46" s="72"/>
      <c r="X46" s="71"/>
      <c r="Y46" s="72"/>
      <c r="Z46" s="71"/>
      <c r="AA46" s="72"/>
      <c r="AB46" s="71"/>
      <c r="AC46" s="72"/>
      <c r="AD46" s="71"/>
      <c r="AE46" s="284"/>
      <c r="AF46" s="291"/>
      <c r="AG46" s="291"/>
      <c r="AH46" s="288"/>
      <c r="AI46" s="72"/>
      <c r="AJ46" s="71"/>
      <c r="AK46" s="72"/>
      <c r="AL46" s="71"/>
      <c r="AM46" s="72"/>
      <c r="AN46" s="15">
        <f t="shared" si="4"/>
        <v>0</v>
      </c>
      <c r="AO46" s="15">
        <f t="shared" si="5"/>
        <v>0</v>
      </c>
    </row>
    <row r="47" spans="1:41" ht="15.75" thickBot="1" x14ac:dyDescent="0.25">
      <c r="A47" s="368"/>
      <c r="B47" s="40">
        <f t="shared" si="11"/>
        <v>0</v>
      </c>
      <c r="C47" s="234"/>
      <c r="D47" s="40"/>
      <c r="E47" s="40"/>
      <c r="F47" s="40"/>
      <c r="G47" s="40"/>
      <c r="H47" s="71"/>
      <c r="I47" s="72"/>
      <c r="J47" s="71"/>
      <c r="K47" s="72"/>
      <c r="L47" s="71"/>
      <c r="M47" s="72"/>
      <c r="N47" s="71"/>
      <c r="O47" s="72"/>
      <c r="P47" s="71"/>
      <c r="Q47" s="72"/>
      <c r="R47" s="71"/>
      <c r="S47" s="72"/>
      <c r="T47" s="71"/>
      <c r="U47" s="72"/>
      <c r="V47" s="71"/>
      <c r="W47" s="72"/>
      <c r="X47" s="71"/>
      <c r="Y47" s="72"/>
      <c r="Z47" s="71"/>
      <c r="AA47" s="72"/>
      <c r="AB47" s="71"/>
      <c r="AC47" s="72"/>
      <c r="AD47" s="71"/>
      <c r="AE47" s="284"/>
      <c r="AF47" s="291"/>
      <c r="AG47" s="291"/>
      <c r="AH47" s="288"/>
      <c r="AI47" s="72"/>
      <c r="AJ47" s="71"/>
      <c r="AK47" s="72"/>
      <c r="AL47" s="71"/>
      <c r="AM47" s="72"/>
      <c r="AN47" s="15">
        <f t="shared" si="4"/>
        <v>0</v>
      </c>
      <c r="AO47" s="15">
        <f t="shared" si="5"/>
        <v>0</v>
      </c>
    </row>
    <row r="48" spans="1:41" ht="15.75" thickBot="1" x14ac:dyDescent="0.25">
      <c r="A48" s="368"/>
      <c r="B48" s="40">
        <f t="shared" si="11"/>
        <v>0</v>
      </c>
      <c r="C48" s="274"/>
      <c r="D48" s="42"/>
      <c r="E48" s="42"/>
      <c r="F48" s="42"/>
      <c r="G48" s="42"/>
      <c r="H48" s="73"/>
      <c r="I48" s="74"/>
      <c r="J48" s="73"/>
      <c r="K48" s="74"/>
      <c r="L48" s="73"/>
      <c r="M48" s="74"/>
      <c r="N48" s="73"/>
      <c r="O48" s="74"/>
      <c r="P48" s="73"/>
      <c r="Q48" s="74"/>
      <c r="R48" s="73"/>
      <c r="S48" s="74"/>
      <c r="T48" s="73"/>
      <c r="U48" s="74"/>
      <c r="V48" s="73"/>
      <c r="W48" s="74"/>
      <c r="X48" s="73"/>
      <c r="Y48" s="74"/>
      <c r="Z48" s="73"/>
      <c r="AA48" s="74"/>
      <c r="AB48" s="73"/>
      <c r="AC48" s="74"/>
      <c r="AD48" s="73"/>
      <c r="AE48" s="285"/>
      <c r="AF48" s="307"/>
      <c r="AG48" s="307"/>
      <c r="AH48" s="289"/>
      <c r="AI48" s="74"/>
      <c r="AJ48" s="73"/>
      <c r="AK48" s="74"/>
      <c r="AL48" s="73"/>
      <c r="AM48" s="74"/>
      <c r="AN48" s="15">
        <f t="shared" si="4"/>
        <v>0</v>
      </c>
      <c r="AO48" s="15">
        <f t="shared" si="5"/>
        <v>0</v>
      </c>
    </row>
    <row r="49" spans="1:43" ht="15.75" thickBot="1" x14ac:dyDescent="0.25">
      <c r="A49" s="369"/>
      <c r="B49" s="370" t="s">
        <v>58</v>
      </c>
      <c r="C49" s="371"/>
      <c r="D49" s="371"/>
      <c r="E49" s="371"/>
      <c r="F49" s="371"/>
      <c r="G49" s="372"/>
      <c r="H49" s="95">
        <f t="shared" ref="H49:AM49" si="12">SUM(H39:H48)</f>
        <v>0</v>
      </c>
      <c r="I49" s="96">
        <f t="shared" si="12"/>
        <v>0</v>
      </c>
      <c r="J49" s="95">
        <f t="shared" si="12"/>
        <v>0</v>
      </c>
      <c r="K49" s="96">
        <f t="shared" si="12"/>
        <v>0</v>
      </c>
      <c r="L49" s="95">
        <f t="shared" si="12"/>
        <v>0</v>
      </c>
      <c r="M49" s="96">
        <f t="shared" si="12"/>
        <v>0</v>
      </c>
      <c r="N49" s="95">
        <f t="shared" si="12"/>
        <v>0</v>
      </c>
      <c r="O49" s="96">
        <f t="shared" si="12"/>
        <v>0</v>
      </c>
      <c r="P49" s="95">
        <f t="shared" si="12"/>
        <v>0</v>
      </c>
      <c r="Q49" s="96">
        <f t="shared" si="12"/>
        <v>0</v>
      </c>
      <c r="R49" s="95">
        <f t="shared" si="12"/>
        <v>0</v>
      </c>
      <c r="S49" s="96">
        <f t="shared" si="12"/>
        <v>0</v>
      </c>
      <c r="T49" s="95">
        <f t="shared" si="12"/>
        <v>0</v>
      </c>
      <c r="U49" s="96">
        <f t="shared" si="12"/>
        <v>0</v>
      </c>
      <c r="V49" s="95">
        <f t="shared" si="12"/>
        <v>0</v>
      </c>
      <c r="W49" s="96">
        <f t="shared" si="12"/>
        <v>0</v>
      </c>
      <c r="X49" s="95">
        <f t="shared" si="12"/>
        <v>0</v>
      </c>
      <c r="Y49" s="96">
        <f t="shared" si="12"/>
        <v>0</v>
      </c>
      <c r="Z49" s="95">
        <f t="shared" si="12"/>
        <v>0</v>
      </c>
      <c r="AA49" s="96">
        <f t="shared" si="12"/>
        <v>0</v>
      </c>
      <c r="AB49" s="95">
        <f t="shared" si="12"/>
        <v>0</v>
      </c>
      <c r="AC49" s="96">
        <f t="shared" si="12"/>
        <v>0</v>
      </c>
      <c r="AD49" s="95">
        <f t="shared" si="12"/>
        <v>0</v>
      </c>
      <c r="AE49" s="294">
        <f t="shared" si="12"/>
        <v>0</v>
      </c>
      <c r="AF49" s="293"/>
      <c r="AG49" s="293"/>
      <c r="AH49" s="301">
        <f t="shared" si="12"/>
        <v>0</v>
      </c>
      <c r="AI49" s="96">
        <f t="shared" si="12"/>
        <v>0</v>
      </c>
      <c r="AJ49" s="95">
        <f t="shared" si="12"/>
        <v>0</v>
      </c>
      <c r="AK49" s="96">
        <f t="shared" si="12"/>
        <v>0</v>
      </c>
      <c r="AL49" s="95">
        <f t="shared" si="12"/>
        <v>0</v>
      </c>
      <c r="AM49" s="96">
        <f t="shared" si="12"/>
        <v>0</v>
      </c>
      <c r="AN49" s="279">
        <f>SUM(AN39:AN48)</f>
        <v>0</v>
      </c>
      <c r="AO49" s="279">
        <f>SUM(AO39:AO48)</f>
        <v>0</v>
      </c>
    </row>
    <row r="50" spans="1:43" s="103" customFormat="1" ht="15" thickBot="1" x14ac:dyDescent="0.25">
      <c r="A50" s="359" t="s">
        <v>35</v>
      </c>
      <c r="B50" s="360"/>
      <c r="C50" s="360"/>
      <c r="D50" s="360"/>
      <c r="E50" s="360"/>
      <c r="F50" s="360"/>
      <c r="G50" s="361"/>
      <c r="H50" s="93">
        <f t="shared" ref="H50:AM50" si="13">H38+H49</f>
        <v>0</v>
      </c>
      <c r="I50" s="94">
        <f t="shared" si="13"/>
        <v>0</v>
      </c>
      <c r="J50" s="93">
        <f t="shared" si="13"/>
        <v>0</v>
      </c>
      <c r="K50" s="94">
        <f t="shared" si="13"/>
        <v>0</v>
      </c>
      <c r="L50" s="93">
        <f t="shared" si="13"/>
        <v>0</v>
      </c>
      <c r="M50" s="94">
        <f t="shared" si="13"/>
        <v>0</v>
      </c>
      <c r="N50" s="93">
        <f t="shared" si="13"/>
        <v>0</v>
      </c>
      <c r="O50" s="94">
        <f t="shared" si="13"/>
        <v>0</v>
      </c>
      <c r="P50" s="93">
        <f t="shared" si="13"/>
        <v>0</v>
      </c>
      <c r="Q50" s="94">
        <f t="shared" si="13"/>
        <v>0</v>
      </c>
      <c r="R50" s="93">
        <f t="shared" si="13"/>
        <v>0</v>
      </c>
      <c r="S50" s="94">
        <f t="shared" si="13"/>
        <v>0</v>
      </c>
      <c r="T50" s="93">
        <f t="shared" si="13"/>
        <v>0</v>
      </c>
      <c r="U50" s="94">
        <f t="shared" si="13"/>
        <v>0</v>
      </c>
      <c r="V50" s="93">
        <f t="shared" si="13"/>
        <v>0</v>
      </c>
      <c r="W50" s="94">
        <f t="shared" si="13"/>
        <v>0</v>
      </c>
      <c r="X50" s="93">
        <f t="shared" si="13"/>
        <v>0</v>
      </c>
      <c r="Y50" s="94">
        <f t="shared" si="13"/>
        <v>0</v>
      </c>
      <c r="Z50" s="93">
        <f t="shared" si="13"/>
        <v>0</v>
      </c>
      <c r="AA50" s="94">
        <f t="shared" si="13"/>
        <v>0</v>
      </c>
      <c r="AB50" s="93">
        <f t="shared" si="13"/>
        <v>0</v>
      </c>
      <c r="AC50" s="94">
        <f t="shared" si="13"/>
        <v>0</v>
      </c>
      <c r="AD50" s="93">
        <f t="shared" si="13"/>
        <v>0</v>
      </c>
      <c r="AE50" s="297">
        <f t="shared" si="13"/>
        <v>0</v>
      </c>
      <c r="AF50" s="306"/>
      <c r="AG50" s="306"/>
      <c r="AH50" s="304">
        <f t="shared" si="13"/>
        <v>0</v>
      </c>
      <c r="AI50" s="94">
        <f t="shared" si="13"/>
        <v>0</v>
      </c>
      <c r="AJ50" s="93">
        <f t="shared" si="13"/>
        <v>0</v>
      </c>
      <c r="AK50" s="94">
        <f t="shared" si="13"/>
        <v>0</v>
      </c>
      <c r="AL50" s="93">
        <f t="shared" si="13"/>
        <v>0</v>
      </c>
      <c r="AM50" s="94">
        <f t="shared" si="13"/>
        <v>0</v>
      </c>
      <c r="AN50" s="280">
        <f>AN49+AN38</f>
        <v>0</v>
      </c>
      <c r="AO50" s="280">
        <f>AO49+AO38</f>
        <v>0</v>
      </c>
    </row>
    <row r="51" spans="1:43" ht="15.75" thickBot="1" x14ac:dyDescent="0.25">
      <c r="A51" s="362"/>
      <c r="B51" s="362"/>
      <c r="C51" s="362"/>
      <c r="D51" s="362"/>
      <c r="E51" s="362"/>
      <c r="F51" s="362"/>
      <c r="G51" s="362"/>
      <c r="H51" s="362"/>
      <c r="I51" s="362"/>
      <c r="J51" s="362"/>
      <c r="K51" s="362"/>
      <c r="L51" s="362"/>
      <c r="M51" s="362"/>
      <c r="N51" s="362"/>
      <c r="O51" s="362"/>
      <c r="P51" s="379"/>
      <c r="Q51" s="380"/>
      <c r="R51" s="380"/>
      <c r="S51" s="380"/>
      <c r="T51" s="380"/>
      <c r="U51" s="380"/>
      <c r="V51" s="380"/>
      <c r="W51" s="380"/>
      <c r="X51" s="380"/>
      <c r="Y51" s="380"/>
      <c r="Z51" s="380"/>
      <c r="AA51" s="380"/>
      <c r="AB51" s="380"/>
      <c r="AC51" s="380"/>
      <c r="AD51" s="380"/>
      <c r="AE51" s="380"/>
      <c r="AF51" s="380"/>
      <c r="AG51" s="380"/>
      <c r="AH51" s="380"/>
      <c r="AI51" s="380"/>
      <c r="AJ51" s="380"/>
      <c r="AK51" s="380"/>
      <c r="AL51" s="380"/>
      <c r="AM51" s="380"/>
      <c r="AN51" s="380"/>
      <c r="AO51" s="380"/>
    </row>
    <row r="52" spans="1:43" ht="15" thickBot="1" x14ac:dyDescent="0.25">
      <c r="A52" s="364" t="s">
        <v>36</v>
      </c>
      <c r="B52" s="365"/>
      <c r="C52" s="365"/>
      <c r="D52" s="365"/>
      <c r="E52" s="365"/>
      <c r="F52" s="365"/>
      <c r="G52" s="366"/>
      <c r="H52" s="97">
        <f t="shared" ref="H52:AM52" si="14">H15+H38</f>
        <v>0</v>
      </c>
      <c r="I52" s="98">
        <f t="shared" si="14"/>
        <v>0</v>
      </c>
      <c r="J52" s="97">
        <f t="shared" si="14"/>
        <v>0</v>
      </c>
      <c r="K52" s="98">
        <f t="shared" si="14"/>
        <v>0</v>
      </c>
      <c r="L52" s="97">
        <f t="shared" si="14"/>
        <v>0</v>
      </c>
      <c r="M52" s="98">
        <f t="shared" si="14"/>
        <v>0</v>
      </c>
      <c r="N52" s="97">
        <f t="shared" si="14"/>
        <v>0</v>
      </c>
      <c r="O52" s="98">
        <f t="shared" si="14"/>
        <v>0</v>
      </c>
      <c r="P52" s="97">
        <f t="shared" si="14"/>
        <v>0</v>
      </c>
      <c r="Q52" s="98">
        <f t="shared" si="14"/>
        <v>0</v>
      </c>
      <c r="R52" s="97">
        <f t="shared" si="14"/>
        <v>0</v>
      </c>
      <c r="S52" s="98">
        <f t="shared" si="14"/>
        <v>0</v>
      </c>
      <c r="T52" s="97">
        <f t="shared" si="14"/>
        <v>0</v>
      </c>
      <c r="U52" s="98">
        <f t="shared" si="14"/>
        <v>0</v>
      </c>
      <c r="V52" s="97">
        <f t="shared" si="14"/>
        <v>0</v>
      </c>
      <c r="W52" s="98">
        <f t="shared" si="14"/>
        <v>0</v>
      </c>
      <c r="X52" s="97">
        <f t="shared" si="14"/>
        <v>0</v>
      </c>
      <c r="Y52" s="98">
        <f t="shared" si="14"/>
        <v>0</v>
      </c>
      <c r="Z52" s="97">
        <f t="shared" si="14"/>
        <v>0</v>
      </c>
      <c r="AA52" s="98">
        <f t="shared" si="14"/>
        <v>0</v>
      </c>
      <c r="AB52" s="97">
        <f t="shared" si="14"/>
        <v>0</v>
      </c>
      <c r="AC52" s="98">
        <f t="shared" si="14"/>
        <v>0</v>
      </c>
      <c r="AD52" s="97">
        <f t="shared" si="14"/>
        <v>0</v>
      </c>
      <c r="AE52" s="98">
        <f t="shared" si="14"/>
        <v>0</v>
      </c>
      <c r="AF52" s="311"/>
      <c r="AG52" s="312"/>
      <c r="AH52" s="97">
        <f t="shared" si="14"/>
        <v>0</v>
      </c>
      <c r="AI52" s="98">
        <f t="shared" si="14"/>
        <v>0</v>
      </c>
      <c r="AJ52" s="97">
        <f t="shared" si="14"/>
        <v>0</v>
      </c>
      <c r="AK52" s="98">
        <f>AK15+AK38</f>
        <v>0</v>
      </c>
      <c r="AL52" s="97">
        <f t="shared" si="14"/>
        <v>0</v>
      </c>
      <c r="AM52" s="98">
        <f t="shared" si="14"/>
        <v>0</v>
      </c>
      <c r="AN52" s="99">
        <f>AN15+AN38</f>
        <v>0</v>
      </c>
      <c r="AO52" s="99">
        <f>AO15+AO38</f>
        <v>0</v>
      </c>
    </row>
    <row r="53" spans="1:43" ht="15" thickBot="1" x14ac:dyDescent="0.25">
      <c r="A53" s="364" t="s">
        <v>37</v>
      </c>
      <c r="B53" s="365"/>
      <c r="C53" s="365"/>
      <c r="D53" s="365"/>
      <c r="E53" s="365"/>
      <c r="F53" s="365"/>
      <c r="G53" s="366"/>
      <c r="H53" s="100">
        <f t="shared" ref="H53:AM53" si="15">H26+H49</f>
        <v>0</v>
      </c>
      <c r="I53" s="101">
        <f t="shared" si="15"/>
        <v>0</v>
      </c>
      <c r="J53" s="100">
        <f t="shared" si="15"/>
        <v>0</v>
      </c>
      <c r="K53" s="101">
        <f t="shared" si="15"/>
        <v>0</v>
      </c>
      <c r="L53" s="100">
        <f t="shared" si="15"/>
        <v>0</v>
      </c>
      <c r="M53" s="101">
        <f t="shared" si="15"/>
        <v>0</v>
      </c>
      <c r="N53" s="100">
        <f t="shared" si="15"/>
        <v>0</v>
      </c>
      <c r="O53" s="101">
        <f t="shared" si="15"/>
        <v>0</v>
      </c>
      <c r="P53" s="100">
        <f t="shared" si="15"/>
        <v>0</v>
      </c>
      <c r="Q53" s="101">
        <f t="shared" si="15"/>
        <v>0</v>
      </c>
      <c r="R53" s="100">
        <f t="shared" si="15"/>
        <v>0</v>
      </c>
      <c r="S53" s="101">
        <f t="shared" si="15"/>
        <v>0</v>
      </c>
      <c r="T53" s="100">
        <f t="shared" si="15"/>
        <v>0</v>
      </c>
      <c r="U53" s="101">
        <f t="shared" si="15"/>
        <v>0</v>
      </c>
      <c r="V53" s="100">
        <f t="shared" si="15"/>
        <v>0</v>
      </c>
      <c r="W53" s="101">
        <f t="shared" si="15"/>
        <v>0</v>
      </c>
      <c r="X53" s="100">
        <f t="shared" si="15"/>
        <v>0</v>
      </c>
      <c r="Y53" s="101">
        <f t="shared" si="15"/>
        <v>0</v>
      </c>
      <c r="Z53" s="100">
        <f t="shared" si="15"/>
        <v>0</v>
      </c>
      <c r="AA53" s="101">
        <f t="shared" si="15"/>
        <v>0</v>
      </c>
      <c r="AB53" s="100">
        <f t="shared" si="15"/>
        <v>0</v>
      </c>
      <c r="AC53" s="101">
        <f t="shared" si="15"/>
        <v>0</v>
      </c>
      <c r="AD53" s="100">
        <f t="shared" si="15"/>
        <v>0</v>
      </c>
      <c r="AE53" s="101">
        <f t="shared" si="15"/>
        <v>0</v>
      </c>
      <c r="AF53" s="311"/>
      <c r="AG53" s="312"/>
      <c r="AH53" s="100">
        <f t="shared" si="15"/>
        <v>0</v>
      </c>
      <c r="AI53" s="101">
        <f t="shared" si="15"/>
        <v>0</v>
      </c>
      <c r="AJ53" s="100">
        <f t="shared" si="15"/>
        <v>0</v>
      </c>
      <c r="AK53" s="101">
        <f t="shared" si="15"/>
        <v>0</v>
      </c>
      <c r="AL53" s="100">
        <f t="shared" si="15"/>
        <v>0</v>
      </c>
      <c r="AM53" s="101">
        <f t="shared" si="15"/>
        <v>0</v>
      </c>
      <c r="AN53" s="99">
        <f>AN49+AN26</f>
        <v>0</v>
      </c>
      <c r="AO53" s="99">
        <f>AO49+AO26</f>
        <v>0</v>
      </c>
    </row>
    <row r="54" spans="1:43" ht="15.75" thickBot="1" x14ac:dyDescent="0.25">
      <c r="A54" s="363"/>
      <c r="B54" s="363"/>
      <c r="C54" s="363"/>
      <c r="D54" s="363"/>
      <c r="E54" s="363"/>
      <c r="F54" s="363"/>
      <c r="G54" s="363"/>
      <c r="H54" s="363"/>
      <c r="I54" s="363"/>
      <c r="J54" s="363"/>
      <c r="K54" s="363"/>
      <c r="L54" s="363"/>
      <c r="M54" s="363"/>
      <c r="N54" s="363"/>
      <c r="O54" s="363"/>
      <c r="P54" s="379"/>
      <c r="Q54" s="380"/>
      <c r="R54" s="380"/>
      <c r="S54" s="380"/>
      <c r="T54" s="380"/>
      <c r="U54" s="380"/>
      <c r="V54" s="380"/>
      <c r="W54" s="380"/>
      <c r="X54" s="380"/>
      <c r="Y54" s="380"/>
      <c r="Z54" s="380"/>
      <c r="AA54" s="380"/>
      <c r="AB54" s="380"/>
      <c r="AC54" s="380"/>
      <c r="AD54" s="380"/>
      <c r="AE54" s="380"/>
      <c r="AF54" s="380"/>
      <c r="AG54" s="380"/>
      <c r="AH54" s="380"/>
      <c r="AI54" s="380"/>
      <c r="AJ54" s="380"/>
      <c r="AK54" s="380"/>
      <c r="AL54" s="380"/>
      <c r="AM54" s="380"/>
      <c r="AN54" s="380"/>
      <c r="AO54" s="380"/>
    </row>
    <row r="55" spans="1:43" s="103" customFormat="1" ht="15" thickBot="1" x14ac:dyDescent="0.25">
      <c r="A55" s="359" t="s">
        <v>59</v>
      </c>
      <c r="B55" s="360"/>
      <c r="C55" s="360"/>
      <c r="D55" s="360"/>
      <c r="E55" s="360"/>
      <c r="F55" s="360"/>
      <c r="G55" s="361"/>
      <c r="H55" s="93">
        <f t="shared" ref="H55:AM55" si="16">H52+H53</f>
        <v>0</v>
      </c>
      <c r="I55" s="94">
        <f t="shared" si="16"/>
        <v>0</v>
      </c>
      <c r="J55" s="93">
        <f t="shared" si="16"/>
        <v>0</v>
      </c>
      <c r="K55" s="94">
        <f t="shared" si="16"/>
        <v>0</v>
      </c>
      <c r="L55" s="93">
        <f t="shared" si="16"/>
        <v>0</v>
      </c>
      <c r="M55" s="94">
        <f t="shared" si="16"/>
        <v>0</v>
      </c>
      <c r="N55" s="93">
        <f t="shared" si="16"/>
        <v>0</v>
      </c>
      <c r="O55" s="94">
        <f t="shared" si="16"/>
        <v>0</v>
      </c>
      <c r="P55" s="93">
        <f t="shared" si="16"/>
        <v>0</v>
      </c>
      <c r="Q55" s="94">
        <f t="shared" si="16"/>
        <v>0</v>
      </c>
      <c r="R55" s="93">
        <f t="shared" si="16"/>
        <v>0</v>
      </c>
      <c r="S55" s="94">
        <f t="shared" si="16"/>
        <v>0</v>
      </c>
      <c r="T55" s="93">
        <f t="shared" si="16"/>
        <v>0</v>
      </c>
      <c r="U55" s="94">
        <f t="shared" si="16"/>
        <v>0</v>
      </c>
      <c r="V55" s="93">
        <f t="shared" si="16"/>
        <v>0</v>
      </c>
      <c r="W55" s="94">
        <f t="shared" si="16"/>
        <v>0</v>
      </c>
      <c r="X55" s="93">
        <f t="shared" si="16"/>
        <v>0</v>
      </c>
      <c r="Y55" s="94">
        <f t="shared" si="16"/>
        <v>0</v>
      </c>
      <c r="Z55" s="93">
        <f t="shared" si="16"/>
        <v>0</v>
      </c>
      <c r="AA55" s="94">
        <f t="shared" si="16"/>
        <v>0</v>
      </c>
      <c r="AB55" s="93">
        <f t="shared" si="16"/>
        <v>0</v>
      </c>
      <c r="AC55" s="94">
        <f t="shared" si="16"/>
        <v>0</v>
      </c>
      <c r="AD55" s="93">
        <f t="shared" si="16"/>
        <v>0</v>
      </c>
      <c r="AE55" s="94">
        <f t="shared" si="16"/>
        <v>0</v>
      </c>
      <c r="AF55" s="93"/>
      <c r="AG55" s="94"/>
      <c r="AH55" s="93">
        <f t="shared" si="16"/>
        <v>0</v>
      </c>
      <c r="AI55" s="94">
        <f t="shared" si="16"/>
        <v>0</v>
      </c>
      <c r="AJ55" s="93">
        <f t="shared" si="16"/>
        <v>0</v>
      </c>
      <c r="AK55" s="94">
        <f>AK52+AK53</f>
        <v>0</v>
      </c>
      <c r="AL55" s="93">
        <f t="shared" si="16"/>
        <v>0</v>
      </c>
      <c r="AM55" s="94">
        <f t="shared" si="16"/>
        <v>0</v>
      </c>
      <c r="AN55" s="93">
        <f>AN53+AN52</f>
        <v>0</v>
      </c>
      <c r="AO55" s="93">
        <f>AO53+AO52</f>
        <v>0</v>
      </c>
    </row>
    <row r="56" spans="1:43" ht="15" x14ac:dyDescent="0.25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</row>
    <row r="57" spans="1:43" s="82" customFormat="1" ht="15.75" x14ac:dyDescent="0.25">
      <c r="B57" s="81" t="str">
        <f>CONCATENATE("Затвердженона  засіданні  кафедри ",РОЗПОДІЛ!C25)</f>
        <v>Затвердженона  засіданні  кафедри  "26"серпня 2016 р. Протокол № 1</v>
      </c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P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Q57" s="82" t="e">
        <f>VLOOKUP(ТИТУЛ!B12,#REF!,2,FALSE)</f>
        <v>#REF!</v>
      </c>
    </row>
    <row r="58" spans="1:43" s="82" customFormat="1" ht="15.75" x14ac:dyDescent="0.25">
      <c r="T58" s="373"/>
      <c r="U58" s="373"/>
      <c r="Y58" s="374"/>
      <c r="Z58" s="374"/>
      <c r="AA58" s="374"/>
      <c r="AB58" s="374"/>
      <c r="AC58" s="374"/>
      <c r="AF58" s="261"/>
      <c r="AG58" s="261"/>
    </row>
    <row r="59" spans="1:43" s="82" customFormat="1" ht="15.75" x14ac:dyDescent="0.25">
      <c r="B59" s="81" t="str">
        <f>CONCATENATE("Викладач  _______________________________ / ",ТИТУЛ!A24," /")</f>
        <v>Викладач  _______________________________ /  /</v>
      </c>
      <c r="C59" s="81"/>
      <c r="D59" s="81"/>
      <c r="AF59" s="261"/>
      <c r="AG59" s="261"/>
      <c r="AQ59" s="82" t="e">
        <f>VLOOKUP(ТИТУЛ!B9,#REF!,3,FALSE)</f>
        <v>#REF!</v>
      </c>
    </row>
    <row r="60" spans="1:43" ht="15.75" x14ac:dyDescent="0.25">
      <c r="P60" s="16"/>
      <c r="R60" s="16"/>
      <c r="S60" s="16"/>
    </row>
  </sheetData>
  <sheetProtection formatCells="0" formatRows="0" insertRows="0" deleteRows="0" autoFilter="0" pivotTables="0"/>
  <mergeCells count="44">
    <mergeCell ref="R2:S3"/>
    <mergeCell ref="A5:A15"/>
    <mergeCell ref="N2:O3"/>
    <mergeCell ref="B15:G15"/>
    <mergeCell ref="H2:I3"/>
    <mergeCell ref="B2:B4"/>
    <mergeCell ref="C2:C4"/>
    <mergeCell ref="D2:D4"/>
    <mergeCell ref="E2:E4"/>
    <mergeCell ref="F2:F4"/>
    <mergeCell ref="P2:Q3"/>
    <mergeCell ref="J2:K3"/>
    <mergeCell ref="L2:M3"/>
    <mergeCell ref="G2:G4"/>
    <mergeCell ref="T58:U58"/>
    <mergeCell ref="Y58:AC58"/>
    <mergeCell ref="AD2:AE3"/>
    <mergeCell ref="AH2:AI3"/>
    <mergeCell ref="P51:AO51"/>
    <mergeCell ref="P54:AO54"/>
    <mergeCell ref="AL2:AM3"/>
    <mergeCell ref="AN2:AO3"/>
    <mergeCell ref="AJ2:AK3"/>
    <mergeCell ref="T2:Y2"/>
    <mergeCell ref="Z2:AA3"/>
    <mergeCell ref="AB2:AC3"/>
    <mergeCell ref="T3:U3"/>
    <mergeCell ref="V3:W3"/>
    <mergeCell ref="X3:Y3"/>
    <mergeCell ref="AF2:AG3"/>
    <mergeCell ref="A2:A4"/>
    <mergeCell ref="A28:A38"/>
    <mergeCell ref="A55:G55"/>
    <mergeCell ref="A27:G27"/>
    <mergeCell ref="A50:G50"/>
    <mergeCell ref="A51:O51"/>
    <mergeCell ref="A54:O54"/>
    <mergeCell ref="A52:G52"/>
    <mergeCell ref="A53:G53"/>
    <mergeCell ref="A39:A49"/>
    <mergeCell ref="B38:G38"/>
    <mergeCell ref="B49:G49"/>
    <mergeCell ref="B26:G26"/>
    <mergeCell ref="A16:A26"/>
  </mergeCells>
  <phoneticPr fontId="0" type="noConversion"/>
  <conditionalFormatting sqref="H55:AM55 H5:AO50">
    <cfRule type="cellIs" dxfId="26" priority="240" stopIfTrue="1" operator="equal">
      <formula>0</formula>
    </cfRule>
  </conditionalFormatting>
  <conditionalFormatting sqref="H15:AM15 H26:AM26 H38:AM38 H49:AM49">
    <cfRule type="cellIs" dxfId="25" priority="234" stopIfTrue="1" operator="equal">
      <formula>0</formula>
    </cfRule>
  </conditionalFormatting>
  <conditionalFormatting sqref="H27:AM27 H50:AM50 H55:AM55">
    <cfRule type="cellIs" dxfId="24" priority="227" stopIfTrue="1" operator="equal">
      <formula>0</formula>
    </cfRule>
    <cfRule type="cellIs" dxfId="23" priority="228" stopIfTrue="1" operator="equal">
      <formula>0</formula>
    </cfRule>
  </conditionalFormatting>
  <conditionalFormatting sqref="AN52:AO53">
    <cfRule type="cellIs" dxfId="22" priority="218" stopIfTrue="1" operator="equal">
      <formula>0</formula>
    </cfRule>
  </conditionalFormatting>
  <conditionalFormatting sqref="AN52:AO53">
    <cfRule type="cellIs" dxfId="21" priority="216" stopIfTrue="1" operator="equal">
      <formula>0</formula>
    </cfRule>
  </conditionalFormatting>
  <conditionalFormatting sqref="H52:I53">
    <cfRule type="cellIs" dxfId="20" priority="110" stopIfTrue="1" operator="equal">
      <formula>0</formula>
    </cfRule>
  </conditionalFormatting>
  <conditionalFormatting sqref="J52:K53">
    <cfRule type="cellIs" dxfId="19" priority="109" stopIfTrue="1" operator="equal">
      <formula>0</formula>
    </cfRule>
  </conditionalFormatting>
  <conditionalFormatting sqref="L52:M53">
    <cfRule type="cellIs" dxfId="18" priority="108" stopIfTrue="1" operator="equal">
      <formula>0</formula>
    </cfRule>
  </conditionalFormatting>
  <conditionalFormatting sqref="N52:O53">
    <cfRule type="cellIs" dxfId="17" priority="105" stopIfTrue="1" operator="equal">
      <formula>0</formula>
    </cfRule>
  </conditionalFormatting>
  <conditionalFormatting sqref="P52:Q53">
    <cfRule type="cellIs" dxfId="16" priority="104" stopIfTrue="1" operator="equal">
      <formula>0</formula>
    </cfRule>
  </conditionalFormatting>
  <conditionalFormatting sqref="R52:S53">
    <cfRule type="cellIs" dxfId="15" priority="103" stopIfTrue="1" operator="equal">
      <formula>0</formula>
    </cfRule>
  </conditionalFormatting>
  <conditionalFormatting sqref="T52:U53">
    <cfRule type="cellIs" dxfId="14" priority="101" stopIfTrue="1" operator="equal">
      <formula>0</formula>
    </cfRule>
  </conditionalFormatting>
  <conditionalFormatting sqref="V52:W53">
    <cfRule type="cellIs" dxfId="13" priority="100" stopIfTrue="1" operator="equal">
      <formula>0</formula>
    </cfRule>
  </conditionalFormatting>
  <conditionalFormatting sqref="X52:Y53">
    <cfRule type="cellIs" dxfId="12" priority="99" stopIfTrue="1" operator="equal">
      <formula>0</formula>
    </cfRule>
  </conditionalFormatting>
  <conditionalFormatting sqref="Z52:AA53">
    <cfRule type="cellIs" dxfId="11" priority="98" stopIfTrue="1" operator="equal">
      <formula>0</formula>
    </cfRule>
  </conditionalFormatting>
  <conditionalFormatting sqref="AB52:AC53">
    <cfRule type="cellIs" dxfId="10" priority="97" stopIfTrue="1" operator="equal">
      <formula>0</formula>
    </cfRule>
  </conditionalFormatting>
  <conditionalFormatting sqref="AD52:AG53">
    <cfRule type="cellIs" dxfId="9" priority="96" stopIfTrue="1" operator="equal">
      <formula>0</formula>
    </cfRule>
  </conditionalFormatting>
  <conditionalFormatting sqref="AH52:AI53">
    <cfRule type="cellIs" dxfId="8" priority="95" stopIfTrue="1" operator="equal">
      <formula>0</formula>
    </cfRule>
  </conditionalFormatting>
  <conditionalFormatting sqref="AJ52:AK53">
    <cfRule type="cellIs" dxfId="7" priority="94" stopIfTrue="1" operator="equal">
      <formula>0</formula>
    </cfRule>
  </conditionalFormatting>
  <conditionalFormatting sqref="AL52:AM53">
    <cfRule type="cellIs" dxfId="6" priority="93" stopIfTrue="1" operator="equal">
      <formula>0</formula>
    </cfRule>
  </conditionalFormatting>
  <conditionalFormatting sqref="AN55:AO55">
    <cfRule type="cellIs" dxfId="5" priority="21" stopIfTrue="1" operator="equal">
      <formula>0</formula>
    </cfRule>
  </conditionalFormatting>
  <conditionalFormatting sqref="AN55:AO55">
    <cfRule type="cellIs" dxfId="4" priority="18" stopIfTrue="1" operator="equal">
      <formula>0</formula>
    </cfRule>
    <cfRule type="cellIs" dxfId="3" priority="19" stopIfTrue="1" operator="equal">
      <formula>0</formula>
    </cfRule>
  </conditionalFormatting>
  <printOptions horizontalCentered="1"/>
  <pageMargins left="0.39370078740157483" right="0.39370078740157483" top="0.39370078740157483" bottom="0.39370078740157483" header="0" footer="0"/>
  <pageSetup paperSize="9" scale="51" orientation="landscape" r:id="rId1"/>
  <headerFooter alignWithMargins="0"/>
  <colBreaks count="1" manualBreakCount="1">
    <brk id="17" max="5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6" tint="-0.249977111117893"/>
    <pageSetUpPr fitToPage="1"/>
  </sheetPr>
  <dimension ref="A1:I38"/>
  <sheetViews>
    <sheetView view="pageBreakPreview" topLeftCell="A19" zoomScale="70" zoomScaleNormal="75" zoomScaleSheetLayoutView="70" workbookViewId="0">
      <selection activeCell="G3" sqref="G3:G6"/>
    </sheetView>
  </sheetViews>
  <sheetFormatPr defaultRowHeight="20.25" x14ac:dyDescent="0.25"/>
  <cols>
    <col min="1" max="1" width="5" style="2" customWidth="1"/>
    <col min="2" max="2" width="69" style="2" customWidth="1"/>
    <col min="3" max="3" width="14.28515625" style="2" customWidth="1"/>
    <col min="4" max="4" width="12" style="2" customWidth="1"/>
    <col min="5" max="5" width="11.5703125" style="2" customWidth="1"/>
    <col min="6" max="6" width="12.7109375" style="2" customWidth="1"/>
    <col min="7" max="7" width="29.5703125" style="209" customWidth="1"/>
    <col min="8" max="16384" width="9.140625" style="2"/>
  </cols>
  <sheetData>
    <row r="1" spans="1:9" ht="21" thickBot="1" x14ac:dyDescent="0.35">
      <c r="B1" s="202" t="s">
        <v>38</v>
      </c>
      <c r="C1" s="203"/>
      <c r="D1" s="203"/>
    </row>
    <row r="2" spans="1:9" ht="45" thickBot="1" x14ac:dyDescent="0.3">
      <c r="A2" s="201" t="s">
        <v>66</v>
      </c>
      <c r="B2" s="217" t="s">
        <v>5</v>
      </c>
      <c r="C2" s="216" t="s">
        <v>445</v>
      </c>
      <c r="D2" s="165" t="s">
        <v>63</v>
      </c>
      <c r="E2" s="251" t="s">
        <v>440</v>
      </c>
      <c r="F2" s="166" t="s">
        <v>441</v>
      </c>
      <c r="G2" s="212" t="s">
        <v>442</v>
      </c>
      <c r="H2" s="4"/>
      <c r="I2" s="4"/>
    </row>
    <row r="3" spans="1:9" x14ac:dyDescent="0.25">
      <c r="A3" s="38">
        <f>IF(B3=0,0,1)</f>
        <v>0</v>
      </c>
      <c r="B3" s="229"/>
      <c r="C3" s="223"/>
      <c r="D3" s="223"/>
      <c r="E3" s="223"/>
      <c r="F3" s="38"/>
      <c r="G3" s="226"/>
      <c r="H3" s="4"/>
      <c r="I3" s="4"/>
    </row>
    <row r="4" spans="1:9" x14ac:dyDescent="0.25">
      <c r="A4" s="40">
        <f>IF(B4=" "," ",A3+1)</f>
        <v>1</v>
      </c>
      <c r="B4" s="230"/>
      <c r="C4" s="224"/>
      <c r="D4" s="224"/>
      <c r="E4" s="224"/>
      <c r="F4" s="40"/>
      <c r="G4" s="227"/>
      <c r="H4" s="4"/>
      <c r="I4" s="4"/>
    </row>
    <row r="5" spans="1:9" x14ac:dyDescent="0.25">
      <c r="A5" s="40">
        <f t="shared" ref="A5:A12" si="0">IF(B5=" "," ",A4+1)</f>
        <v>2</v>
      </c>
      <c r="B5" s="230"/>
      <c r="C5" s="224"/>
      <c r="D5" s="224"/>
      <c r="E5" s="224"/>
      <c r="F5" s="40"/>
      <c r="G5" s="227"/>
      <c r="H5" s="4"/>
      <c r="I5" s="4"/>
    </row>
    <row r="6" spans="1:9" x14ac:dyDescent="0.25">
      <c r="A6" s="40">
        <f t="shared" si="0"/>
        <v>3</v>
      </c>
      <c r="B6" s="230"/>
      <c r="C6" s="224"/>
      <c r="D6" s="224"/>
      <c r="E6" s="224"/>
      <c r="F6" s="40"/>
      <c r="G6" s="227"/>
      <c r="H6" s="4"/>
      <c r="I6" s="4"/>
    </row>
    <row r="7" spans="1:9" x14ac:dyDescent="0.25">
      <c r="A7" s="40" t="str">
        <f t="shared" si="0"/>
        <v xml:space="preserve"> </v>
      </c>
      <c r="B7" s="230" t="str">
        <f>IFERROR(VLOOKUP(G7,метод!$C$14:$D$103,2,FALSE)," ")</f>
        <v xml:space="preserve"> </v>
      </c>
      <c r="C7" s="224"/>
      <c r="D7" s="224"/>
      <c r="E7" s="224"/>
      <c r="F7" s="40"/>
      <c r="G7" s="227"/>
      <c r="H7" s="4"/>
      <c r="I7" s="4"/>
    </row>
    <row r="8" spans="1:9" x14ac:dyDescent="0.25">
      <c r="A8" s="40" t="str">
        <f t="shared" si="0"/>
        <v xml:space="preserve"> </v>
      </c>
      <c r="B8" s="230" t="str">
        <f>IFERROR(VLOOKUP(G8,метод!$C$14:$D$103,2,FALSE)," ")</f>
        <v xml:space="preserve"> </v>
      </c>
      <c r="C8" s="224"/>
      <c r="D8" s="224"/>
      <c r="E8" s="224"/>
      <c r="F8" s="40"/>
      <c r="G8" s="227"/>
    </row>
    <row r="9" spans="1:9" x14ac:dyDescent="0.25">
      <c r="A9" s="40" t="str">
        <f t="shared" si="0"/>
        <v xml:space="preserve"> </v>
      </c>
      <c r="B9" s="230" t="str">
        <f>IFERROR(VLOOKUP(G9,метод!$C$14:$D$103,2,FALSE)," ")</f>
        <v xml:space="preserve"> </v>
      </c>
      <c r="C9" s="224"/>
      <c r="D9" s="224"/>
      <c r="E9" s="224"/>
      <c r="F9" s="40"/>
      <c r="G9" s="227"/>
      <c r="H9" s="4"/>
      <c r="I9" s="4"/>
    </row>
    <row r="10" spans="1:9" x14ac:dyDescent="0.25">
      <c r="A10" s="40" t="str">
        <f t="shared" si="0"/>
        <v xml:space="preserve"> </v>
      </c>
      <c r="B10" s="230" t="str">
        <f>IFERROR(VLOOKUP(G10,метод!$C$14:$D$103,2,FALSE)," ")</f>
        <v xml:space="preserve"> </v>
      </c>
      <c r="C10" s="224"/>
      <c r="D10" s="224"/>
      <c r="E10" s="224"/>
      <c r="F10" s="40"/>
      <c r="G10" s="227"/>
      <c r="H10" s="167"/>
      <c r="I10" s="4"/>
    </row>
    <row r="11" spans="1:9" x14ac:dyDescent="0.25">
      <c r="A11" s="40" t="str">
        <f t="shared" si="0"/>
        <v xml:space="preserve"> </v>
      </c>
      <c r="B11" s="230" t="str">
        <f>IFERROR(VLOOKUP(G11,метод!$C$14:$D$103,2,FALSE)," ")</f>
        <v xml:space="preserve"> </v>
      </c>
      <c r="C11" s="224"/>
      <c r="D11" s="224"/>
      <c r="E11" s="224"/>
      <c r="F11" s="40"/>
      <c r="G11" s="227"/>
      <c r="H11" s="168"/>
      <c r="I11" s="4"/>
    </row>
    <row r="12" spans="1:9" ht="21" thickBot="1" x14ac:dyDescent="0.3">
      <c r="A12" s="42" t="str">
        <f t="shared" si="0"/>
        <v xml:space="preserve"> </v>
      </c>
      <c r="B12" s="231" t="str">
        <f>IFERROR(VLOOKUP(G12,метод!$C$14:$D$103,2,FALSE)," ")</f>
        <v xml:space="preserve"> </v>
      </c>
      <c r="C12" s="225"/>
      <c r="D12" s="225"/>
      <c r="E12" s="225"/>
      <c r="F12" s="228"/>
      <c r="G12" s="227"/>
      <c r="H12" s="4"/>
      <c r="I12" s="4"/>
    </row>
    <row r="13" spans="1:9" ht="21" thickBot="1" x14ac:dyDescent="0.3">
      <c r="A13" s="267"/>
      <c r="B13" s="206"/>
      <c r="C13" s="205"/>
      <c r="D13" s="206" t="s">
        <v>41</v>
      </c>
      <c r="E13" s="222">
        <f>SUM(E3:E12)</f>
        <v>0</v>
      </c>
      <c r="F13" s="222">
        <f>SUM(F3:F12)</f>
        <v>0</v>
      </c>
      <c r="G13" s="215"/>
      <c r="H13" s="4"/>
      <c r="I13" s="4"/>
    </row>
    <row r="14" spans="1:9" ht="21" thickBot="1" x14ac:dyDescent="0.3">
      <c r="A14" s="266"/>
      <c r="B14" s="410" t="e">
        <f>CONCATENATE("Викладач ______________      Завідувач кафедри  ____________       / ",'НАВЧАЛЬНА РОБОТА'!AQ57," /")</f>
        <v>#REF!</v>
      </c>
      <c r="C14" s="411"/>
      <c r="D14" s="411"/>
      <c r="E14" s="411"/>
      <c r="F14" s="207"/>
      <c r="G14" s="210"/>
      <c r="H14" s="4"/>
      <c r="I14" s="4"/>
    </row>
    <row r="15" spans="1:9" ht="21" thickBot="1" x14ac:dyDescent="0.35">
      <c r="B15" s="203" t="s">
        <v>39</v>
      </c>
      <c r="C15" s="203"/>
      <c r="D15" s="203"/>
    </row>
    <row r="16" spans="1:9" ht="42" thickBot="1" x14ac:dyDescent="0.3">
      <c r="A16" s="165" t="s">
        <v>66</v>
      </c>
      <c r="B16" s="217" t="s">
        <v>5</v>
      </c>
      <c r="C16" s="201" t="s">
        <v>446</v>
      </c>
      <c r="D16" s="165" t="s">
        <v>63</v>
      </c>
      <c r="E16" s="251" t="s">
        <v>67</v>
      </c>
      <c r="F16" s="166" t="s">
        <v>68</v>
      </c>
      <c r="G16" s="214" t="s">
        <v>443</v>
      </c>
    </row>
    <row r="17" spans="1:7" x14ac:dyDescent="0.25">
      <c r="A17" s="38">
        <f>IF(B17=0,0,1)</f>
        <v>0</v>
      </c>
      <c r="B17" s="233"/>
      <c r="C17" s="218"/>
      <c r="D17" s="219"/>
      <c r="E17" s="174"/>
      <c r="F17" s="38"/>
      <c r="G17" s="226"/>
    </row>
    <row r="18" spans="1:7" x14ac:dyDescent="0.25">
      <c r="A18" s="44">
        <f>IF(B18=" "," ",A17+1)</f>
        <v>1</v>
      </c>
      <c r="B18" s="234"/>
      <c r="C18" s="218"/>
      <c r="D18" s="219"/>
      <c r="E18" s="164"/>
      <c r="F18" s="40"/>
      <c r="G18" s="227"/>
    </row>
    <row r="19" spans="1:7" x14ac:dyDescent="0.25">
      <c r="A19" s="44" t="str">
        <f t="shared" ref="A19:A24" si="1">IF(B19=" "," ",A18+1)</f>
        <v xml:space="preserve"> </v>
      </c>
      <c r="B19" s="234" t="str">
        <f>IFERROR(VLOOKUP(G19,наук!$C$14:$D$103,2,FALSE)," ")</f>
        <v xml:space="preserve"> </v>
      </c>
      <c r="C19" s="218"/>
      <c r="D19" s="219"/>
      <c r="E19" s="164"/>
      <c r="F19" s="40"/>
      <c r="G19" s="227"/>
    </row>
    <row r="20" spans="1:7" x14ac:dyDescent="0.25">
      <c r="A20" s="44" t="str">
        <f t="shared" si="1"/>
        <v xml:space="preserve"> </v>
      </c>
      <c r="B20" s="234" t="str">
        <f>IFERROR(VLOOKUP(G20,наук!$C$14:$D$103,2,FALSE)," ")</f>
        <v xml:space="preserve"> </v>
      </c>
      <c r="C20" s="218"/>
      <c r="D20" s="219"/>
      <c r="E20" s="164"/>
      <c r="F20" s="40"/>
      <c r="G20" s="227"/>
    </row>
    <row r="21" spans="1:7" x14ac:dyDescent="0.25">
      <c r="A21" s="44" t="str">
        <f t="shared" si="1"/>
        <v xml:space="preserve"> </v>
      </c>
      <c r="B21" s="234" t="str">
        <f>IFERROR(VLOOKUP(G21,наук!$C$14:$D$103,2,FALSE)," ")</f>
        <v xml:space="preserve"> </v>
      </c>
      <c r="C21" s="218"/>
      <c r="D21" s="219"/>
      <c r="E21" s="164"/>
      <c r="F21" s="40"/>
      <c r="G21" s="227"/>
    </row>
    <row r="22" spans="1:7" x14ac:dyDescent="0.25">
      <c r="A22" s="44" t="str">
        <f t="shared" si="1"/>
        <v xml:space="preserve"> </v>
      </c>
      <c r="B22" s="234" t="str">
        <f>IFERROR(VLOOKUP(G22,наук!$C$14:$D$103,2,FALSE)," ")</f>
        <v xml:space="preserve"> </v>
      </c>
      <c r="C22" s="218"/>
      <c r="D22" s="219"/>
      <c r="E22" s="164"/>
      <c r="F22" s="40"/>
      <c r="G22" s="227"/>
    </row>
    <row r="23" spans="1:7" x14ac:dyDescent="0.25">
      <c r="A23" s="44" t="str">
        <f t="shared" si="1"/>
        <v xml:space="preserve"> </v>
      </c>
      <c r="B23" s="234" t="str">
        <f>IFERROR(VLOOKUP(G23,наук!$C$14:$D$103,2,FALSE)," ")</f>
        <v xml:space="preserve"> </v>
      </c>
      <c r="C23" s="218"/>
      <c r="D23" s="219"/>
      <c r="E23" s="164"/>
      <c r="F23" s="40"/>
      <c r="G23" s="227"/>
    </row>
    <row r="24" spans="1:7" ht="21" thickBot="1" x14ac:dyDescent="0.3">
      <c r="A24" s="232" t="str">
        <f t="shared" si="1"/>
        <v xml:space="preserve"> </v>
      </c>
      <c r="B24" s="235" t="str">
        <f>IFERROR(VLOOKUP(G24,наук!$C$14:$D$103,2,FALSE)," ")</f>
        <v xml:space="preserve"> </v>
      </c>
      <c r="C24" s="218"/>
      <c r="D24" s="219"/>
      <c r="E24" s="164"/>
      <c r="F24" s="228"/>
      <c r="G24" s="227"/>
    </row>
    <row r="25" spans="1:7" ht="21" thickBot="1" x14ac:dyDescent="0.3">
      <c r="A25" s="204"/>
      <c r="B25" s="205"/>
      <c r="C25" s="205"/>
      <c r="D25" s="206" t="s">
        <v>41</v>
      </c>
      <c r="E25" s="36">
        <f>SUM(E17:E24)</f>
        <v>0</v>
      </c>
      <c r="F25" s="36">
        <f>SUM(F17:F24)</f>
        <v>0</v>
      </c>
      <c r="G25" s="215"/>
    </row>
    <row r="26" spans="1:7" ht="21" thickBot="1" x14ac:dyDescent="0.3">
      <c r="A26" s="244"/>
      <c r="B26" s="412" t="e">
        <f>B14</f>
        <v>#REF!</v>
      </c>
      <c r="C26" s="412"/>
      <c r="D26" s="412"/>
      <c r="E26" s="412"/>
      <c r="F26" s="245"/>
    </row>
    <row r="27" spans="1:7" ht="21" thickBot="1" x14ac:dyDescent="0.35">
      <c r="A27" s="246"/>
      <c r="B27" s="247" t="s">
        <v>40</v>
      </c>
      <c r="C27" s="247"/>
      <c r="D27" s="247"/>
      <c r="E27" s="248"/>
      <c r="F27" s="249"/>
    </row>
    <row r="28" spans="1:7" ht="42" thickBot="1" x14ac:dyDescent="0.3">
      <c r="A28" s="165" t="s">
        <v>66</v>
      </c>
      <c r="B28" s="208"/>
      <c r="C28" s="165" t="s">
        <v>446</v>
      </c>
      <c r="D28" s="165" t="s">
        <v>63</v>
      </c>
      <c r="E28" s="166" t="s">
        <v>64</v>
      </c>
      <c r="F28" s="166" t="s">
        <v>65</v>
      </c>
      <c r="G28" s="212" t="s">
        <v>444</v>
      </c>
    </row>
    <row r="29" spans="1:7" x14ac:dyDescent="0.25">
      <c r="A29" s="236">
        <f>IF(B29=0,0,1)</f>
        <v>0</v>
      </c>
      <c r="B29" s="233"/>
      <c r="C29" s="223"/>
      <c r="D29" s="239"/>
      <c r="E29" s="242"/>
      <c r="F29" s="38"/>
      <c r="G29" s="226"/>
    </row>
    <row r="30" spans="1:7" x14ac:dyDescent="0.25">
      <c r="A30" s="237" t="str">
        <f>IF(B30=" "," ",A29+1)</f>
        <v xml:space="preserve"> </v>
      </c>
      <c r="B30" s="234" t="str">
        <f>IFERROR(VLOOKUP(G30,органз!$C$14:$D$103,2,FALSE)," ")</f>
        <v xml:space="preserve"> </v>
      </c>
      <c r="C30" s="224"/>
      <c r="D30" s="240"/>
      <c r="E30" s="213"/>
      <c r="F30" s="40"/>
      <c r="G30" s="227"/>
    </row>
    <row r="31" spans="1:7" x14ac:dyDescent="0.25">
      <c r="A31" s="237" t="str">
        <f t="shared" ref="A31:A36" si="2">IF(B31=" "," ",A30+1)</f>
        <v xml:space="preserve"> </v>
      </c>
      <c r="B31" s="234" t="str">
        <f>IFERROR(VLOOKUP(G31,органз!$C$14:$D$103,2,FALSE)," ")</f>
        <v xml:space="preserve"> </v>
      </c>
      <c r="C31" s="224"/>
      <c r="D31" s="240"/>
      <c r="E31" s="213"/>
      <c r="F31" s="40"/>
      <c r="G31" s="226"/>
    </row>
    <row r="32" spans="1:7" x14ac:dyDescent="0.25">
      <c r="A32" s="237" t="str">
        <f t="shared" si="2"/>
        <v xml:space="preserve"> </v>
      </c>
      <c r="B32" s="234" t="str">
        <f>IFERROR(VLOOKUP(G32,органз!$C$14:$D$103,2,FALSE)," ")</f>
        <v xml:space="preserve"> </v>
      </c>
      <c r="C32" s="224"/>
      <c r="D32" s="240"/>
      <c r="E32" s="213"/>
      <c r="F32" s="40"/>
      <c r="G32" s="227"/>
    </row>
    <row r="33" spans="1:7" x14ac:dyDescent="0.25">
      <c r="A33" s="237" t="str">
        <f t="shared" si="2"/>
        <v xml:space="preserve"> </v>
      </c>
      <c r="B33" s="234" t="str">
        <f>IFERROR(VLOOKUP(G33,органз!$C$14:$D$103,2,FALSE)," ")</f>
        <v xml:space="preserve"> </v>
      </c>
      <c r="C33" s="224"/>
      <c r="D33" s="240"/>
      <c r="E33" s="213"/>
      <c r="F33" s="40"/>
      <c r="G33" s="226"/>
    </row>
    <row r="34" spans="1:7" x14ac:dyDescent="0.25">
      <c r="A34" s="237" t="str">
        <f t="shared" si="2"/>
        <v xml:space="preserve"> </v>
      </c>
      <c r="B34" s="234" t="str">
        <f>IFERROR(VLOOKUP(G34,органз!$C$14:$D$103,2,FALSE)," ")</f>
        <v xml:space="preserve"> </v>
      </c>
      <c r="C34" s="224"/>
      <c r="D34" s="240"/>
      <c r="E34" s="213"/>
      <c r="F34" s="40"/>
      <c r="G34" s="227"/>
    </row>
    <row r="35" spans="1:7" x14ac:dyDescent="0.25">
      <c r="A35" s="237" t="str">
        <f t="shared" si="2"/>
        <v xml:space="preserve"> </v>
      </c>
      <c r="B35" s="234" t="str">
        <f>IFERROR(VLOOKUP(G35,органз!$C$14:$D$103,2,FALSE)," ")</f>
        <v xml:space="preserve"> </v>
      </c>
      <c r="C35" s="224"/>
      <c r="D35" s="240"/>
      <c r="E35" s="213"/>
      <c r="F35" s="40"/>
      <c r="G35" s="226"/>
    </row>
    <row r="36" spans="1:7" ht="21" thickBot="1" x14ac:dyDescent="0.3">
      <c r="A36" s="238" t="str">
        <f t="shared" si="2"/>
        <v xml:space="preserve"> </v>
      </c>
      <c r="B36" s="235" t="str">
        <f>IFERROR(VLOOKUP(G36,органз!$C$14:$D$103,2,FALSE)," ")</f>
        <v xml:space="preserve"> </v>
      </c>
      <c r="C36" s="225"/>
      <c r="D36" s="241"/>
      <c r="E36" s="243"/>
      <c r="F36" s="228"/>
      <c r="G36" s="227"/>
    </row>
    <row r="37" spans="1:7" ht="21" thickBot="1" x14ac:dyDescent="0.3">
      <c r="A37" s="220"/>
      <c r="B37" s="211"/>
      <c r="C37" s="211"/>
      <c r="D37" s="221" t="s">
        <v>41</v>
      </c>
      <c r="E37" s="222">
        <f>SUM(E29:E36)</f>
        <v>0</v>
      </c>
      <c r="F37" s="222">
        <f>SUM(F29:F36)</f>
        <v>0</v>
      </c>
      <c r="G37" s="215"/>
    </row>
    <row r="38" spans="1:7" ht="21" thickBot="1" x14ac:dyDescent="0.3">
      <c r="A38" s="250"/>
      <c r="B38" s="412" t="e">
        <f>B14</f>
        <v>#REF!</v>
      </c>
      <c r="C38" s="412"/>
      <c r="D38" s="412"/>
      <c r="E38" s="412"/>
      <c r="F38" s="245"/>
    </row>
  </sheetData>
  <sheetProtection formatCells="0" selectLockedCells="1"/>
  <mergeCells count="3">
    <mergeCell ref="B14:E14"/>
    <mergeCell ref="B26:E26"/>
    <mergeCell ref="B38:E38"/>
  </mergeCells>
  <phoneticPr fontId="0" type="noConversion"/>
  <conditionalFormatting sqref="E13:F13">
    <cfRule type="cellIs" dxfId="2" priority="3" stopIfTrue="1" operator="equal">
      <formula>0</formula>
    </cfRule>
  </conditionalFormatting>
  <conditionalFormatting sqref="E25:F25">
    <cfRule type="cellIs" dxfId="1" priority="2" stopIfTrue="1" operator="equal">
      <formula>0</formula>
    </cfRule>
  </conditionalFormatting>
  <conditionalFormatting sqref="E37:F37">
    <cfRule type="cellIs" dxfId="0" priority="1" stopIfTrue="1" operator="equal">
      <formula>0</formula>
    </cfRule>
  </conditionalFormatting>
  <dataValidations count="2">
    <dataValidation type="list" allowBlank="1" showInputMessage="1" showErrorMessage="1" sqref="C3:C12 C17:C24 C29:C36">
      <formula1>#REF!</formula1>
    </dataValidation>
    <dataValidation type="list" allowBlank="1" showInputMessage="1" showErrorMessage="1" sqref="D3:D12 D17:D24 D29:D36">
      <formula1>#REF!</formula1>
    </dataValidation>
  </dataValidations>
  <printOptions horizontalCentered="1"/>
  <pageMargins left="0.39370078740157483" right="0.39370078740157483" top="0.59055118110236227" bottom="0.59055118110236227" header="0" footer="0"/>
  <pageSetup paperSize="9" scale="7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6" tint="-0.249977111117893"/>
    <pageSetUpPr fitToPage="1"/>
  </sheetPr>
  <dimension ref="A1:K28"/>
  <sheetViews>
    <sheetView view="pageBreakPreview" topLeftCell="A13" zoomScale="60" zoomScaleNormal="90" workbookViewId="0">
      <selection activeCell="B13" sqref="B13:F13"/>
    </sheetView>
  </sheetViews>
  <sheetFormatPr defaultRowHeight="15" x14ac:dyDescent="0.25"/>
  <cols>
    <col min="1" max="1" width="5.5703125" style="6" customWidth="1"/>
    <col min="2" max="2" width="25.28515625" style="6" customWidth="1"/>
    <col min="3" max="3" width="33.7109375" style="6" customWidth="1"/>
    <col min="4" max="4" width="12.140625" style="6" customWidth="1"/>
    <col min="5" max="5" width="12.5703125" style="6" customWidth="1"/>
    <col min="6" max="6" width="22.85546875" style="6" customWidth="1"/>
    <col min="7" max="7" width="10.7109375" style="6" customWidth="1"/>
    <col min="8" max="8" width="9.140625" style="6" customWidth="1"/>
    <col min="9" max="9" width="12.28515625" style="6" customWidth="1"/>
    <col min="10" max="16384" width="9.140625" style="6"/>
  </cols>
  <sheetData>
    <row r="1" spans="1:11" ht="22.5" customHeight="1" thickBot="1" x14ac:dyDescent="0.35">
      <c r="A1" s="416" t="s">
        <v>25</v>
      </c>
      <c r="B1" s="416"/>
      <c r="C1" s="416"/>
      <c r="D1" s="416"/>
      <c r="E1" s="416"/>
      <c r="F1" s="416"/>
      <c r="G1" s="21"/>
      <c r="H1" s="4"/>
      <c r="I1" s="4"/>
      <c r="J1" s="4"/>
      <c r="K1" s="4"/>
    </row>
    <row r="2" spans="1:11" ht="53.25" customHeight="1" thickBot="1" x14ac:dyDescent="0.3">
      <c r="A2" s="22" t="s">
        <v>43</v>
      </c>
      <c r="B2" s="23" t="s">
        <v>69</v>
      </c>
      <c r="C2" s="26" t="s">
        <v>73</v>
      </c>
      <c r="D2" s="24" t="s">
        <v>70</v>
      </c>
      <c r="E2" s="24" t="s">
        <v>65</v>
      </c>
      <c r="F2" s="26" t="s">
        <v>44</v>
      </c>
      <c r="G2" s="25" t="s">
        <v>42</v>
      </c>
      <c r="H2" s="4"/>
      <c r="I2" s="4"/>
      <c r="J2" s="4"/>
      <c r="K2" s="4"/>
    </row>
    <row r="3" spans="1:11" ht="32.25" customHeight="1" x14ac:dyDescent="0.25">
      <c r="A3" s="45"/>
      <c r="B3" s="46"/>
      <c r="C3" s="47"/>
      <c r="D3" s="47"/>
      <c r="E3" s="47"/>
      <c r="F3" s="47"/>
      <c r="G3" s="48"/>
      <c r="H3" s="4"/>
      <c r="I3" s="4"/>
      <c r="J3" s="4"/>
      <c r="K3" s="4"/>
    </row>
    <row r="4" spans="1:11" ht="32.25" customHeight="1" x14ac:dyDescent="0.25">
      <c r="A4" s="49"/>
      <c r="B4" s="50"/>
      <c r="C4" s="51"/>
      <c r="D4" s="51"/>
      <c r="E4" s="51"/>
      <c r="F4" s="51"/>
      <c r="G4" s="52"/>
      <c r="H4" s="4"/>
      <c r="I4" s="4"/>
      <c r="J4" s="4"/>
      <c r="K4" s="4"/>
    </row>
    <row r="5" spans="1:11" ht="32.25" customHeight="1" x14ac:dyDescent="0.25">
      <c r="A5" s="49"/>
      <c r="B5" s="50"/>
      <c r="C5" s="51"/>
      <c r="D5" s="51"/>
      <c r="E5" s="51"/>
      <c r="F5" s="51"/>
      <c r="G5" s="52"/>
      <c r="H5" s="4"/>
      <c r="I5" s="4"/>
      <c r="J5" s="4"/>
      <c r="K5" s="4"/>
    </row>
    <row r="6" spans="1:11" ht="32.25" customHeight="1" x14ac:dyDescent="0.25">
      <c r="A6" s="49"/>
      <c r="B6" s="51"/>
      <c r="C6" s="51"/>
      <c r="D6" s="51"/>
      <c r="E6" s="51"/>
      <c r="F6" s="51"/>
      <c r="G6" s="52"/>
      <c r="H6" s="4"/>
      <c r="I6" s="4"/>
      <c r="J6" s="4"/>
      <c r="K6" s="4"/>
    </row>
    <row r="7" spans="1:11" ht="32.25" customHeight="1" x14ac:dyDescent="0.25">
      <c r="A7" s="49"/>
      <c r="B7" s="51"/>
      <c r="C7" s="51"/>
      <c r="D7" s="51"/>
      <c r="E7" s="51"/>
      <c r="F7" s="51"/>
      <c r="G7" s="52"/>
      <c r="H7" s="4"/>
      <c r="I7" s="4"/>
      <c r="J7" s="4"/>
      <c r="K7" s="4"/>
    </row>
    <row r="8" spans="1:11" ht="32.25" customHeight="1" x14ac:dyDescent="0.25">
      <c r="A8" s="49"/>
      <c r="B8" s="51"/>
      <c r="C8" s="51"/>
      <c r="D8" s="51"/>
      <c r="E8" s="51"/>
      <c r="F8" s="51"/>
      <c r="G8" s="52"/>
      <c r="H8" s="4"/>
      <c r="I8" s="4"/>
      <c r="J8" s="4"/>
      <c r="K8" s="4"/>
    </row>
    <row r="9" spans="1:11" ht="32.25" customHeight="1" thickBot="1" x14ac:dyDescent="0.3">
      <c r="A9" s="53"/>
      <c r="B9" s="54"/>
      <c r="C9" s="55"/>
      <c r="D9" s="55"/>
      <c r="E9" s="55"/>
      <c r="F9" s="55"/>
      <c r="G9" s="56"/>
    </row>
    <row r="11" spans="1:11" ht="19.5" thickBot="1" x14ac:dyDescent="0.3">
      <c r="A11" s="415" t="s">
        <v>26</v>
      </c>
      <c r="B11" s="415"/>
      <c r="C11" s="415"/>
      <c r="D11" s="415"/>
      <c r="E11" s="415"/>
      <c r="F11" s="415"/>
      <c r="G11" s="415"/>
    </row>
    <row r="12" spans="1:11" ht="51.75" thickBot="1" x14ac:dyDescent="0.3">
      <c r="A12" s="27" t="s">
        <v>43</v>
      </c>
      <c r="B12" s="417" t="s">
        <v>5</v>
      </c>
      <c r="C12" s="417"/>
      <c r="D12" s="417"/>
      <c r="E12" s="417"/>
      <c r="F12" s="417"/>
      <c r="G12" s="25" t="s">
        <v>42</v>
      </c>
    </row>
    <row r="13" spans="1:11" ht="52.5" customHeight="1" x14ac:dyDescent="0.25">
      <c r="A13" s="39"/>
      <c r="B13" s="418"/>
      <c r="C13" s="419"/>
      <c r="D13" s="419"/>
      <c r="E13" s="419"/>
      <c r="F13" s="420"/>
      <c r="G13" s="48"/>
    </row>
    <row r="14" spans="1:11" ht="44.25" customHeight="1" x14ac:dyDescent="0.25">
      <c r="A14" s="41"/>
      <c r="B14" s="421"/>
      <c r="C14" s="422"/>
      <c r="D14" s="422"/>
      <c r="E14" s="422"/>
      <c r="F14" s="423"/>
      <c r="G14" s="52"/>
    </row>
    <row r="15" spans="1:11" ht="32.25" customHeight="1" x14ac:dyDescent="0.25">
      <c r="A15" s="41"/>
      <c r="B15" s="413"/>
      <c r="C15" s="413"/>
      <c r="D15" s="413"/>
      <c r="E15" s="413"/>
      <c r="F15" s="413"/>
      <c r="G15" s="52"/>
    </row>
    <row r="16" spans="1:11" ht="32.25" customHeight="1" x14ac:dyDescent="0.25">
      <c r="A16" s="41"/>
      <c r="B16" s="413"/>
      <c r="C16" s="413"/>
      <c r="D16" s="413"/>
      <c r="E16" s="413"/>
      <c r="F16" s="413"/>
      <c r="G16" s="52"/>
    </row>
    <row r="17" spans="1:7" ht="32.25" customHeight="1" x14ac:dyDescent="0.25">
      <c r="A17" s="41"/>
      <c r="B17" s="413"/>
      <c r="C17" s="413"/>
      <c r="D17" s="413"/>
      <c r="E17" s="413"/>
      <c r="F17" s="413"/>
      <c r="G17" s="52"/>
    </row>
    <row r="18" spans="1:7" ht="32.25" customHeight="1" thickBot="1" x14ac:dyDescent="0.3">
      <c r="A18" s="43"/>
      <c r="B18" s="414"/>
      <c r="C18" s="414"/>
      <c r="D18" s="414"/>
      <c r="E18" s="414"/>
      <c r="F18" s="414"/>
      <c r="G18" s="56"/>
    </row>
    <row r="20" spans="1:7" ht="19.5" thickBot="1" x14ac:dyDescent="0.3">
      <c r="A20" s="415" t="s">
        <v>27</v>
      </c>
      <c r="B20" s="415"/>
      <c r="C20" s="415"/>
      <c r="D20" s="415"/>
      <c r="E20" s="415"/>
      <c r="F20" s="415"/>
      <c r="G20" s="415"/>
    </row>
    <row r="21" spans="1:7" ht="41.25" customHeight="1" thickBot="1" x14ac:dyDescent="0.3">
      <c r="A21" s="27" t="s">
        <v>11</v>
      </c>
      <c r="B21" s="417" t="s">
        <v>71</v>
      </c>
      <c r="C21" s="417"/>
      <c r="D21" s="417"/>
      <c r="E21" s="417"/>
      <c r="F21" s="417"/>
      <c r="G21" s="25" t="s">
        <v>12</v>
      </c>
    </row>
    <row r="22" spans="1:7" ht="32.25" customHeight="1" x14ac:dyDescent="0.25">
      <c r="A22" s="39"/>
      <c r="B22" s="424"/>
      <c r="C22" s="424"/>
      <c r="D22" s="424"/>
      <c r="E22" s="424"/>
      <c r="F22" s="424"/>
      <c r="G22" s="48"/>
    </row>
    <row r="23" spans="1:7" ht="32.25" customHeight="1" x14ac:dyDescent="0.25">
      <c r="A23" s="41"/>
      <c r="B23" s="413"/>
      <c r="C23" s="413"/>
      <c r="D23" s="413"/>
      <c r="E23" s="413"/>
      <c r="F23" s="413"/>
      <c r="G23" s="52"/>
    </row>
    <row r="24" spans="1:7" ht="32.25" customHeight="1" x14ac:dyDescent="0.25">
      <c r="A24" s="41"/>
      <c r="B24" s="413"/>
      <c r="C24" s="413"/>
      <c r="D24" s="413"/>
      <c r="E24" s="413"/>
      <c r="F24" s="413"/>
      <c r="G24" s="52"/>
    </row>
    <row r="25" spans="1:7" ht="32.25" customHeight="1" x14ac:dyDescent="0.25">
      <c r="A25" s="41"/>
      <c r="B25" s="413"/>
      <c r="C25" s="413"/>
      <c r="D25" s="413"/>
      <c r="E25" s="413"/>
      <c r="F25" s="413"/>
      <c r="G25" s="52"/>
    </row>
    <row r="26" spans="1:7" ht="32.25" customHeight="1" x14ac:dyDescent="0.25">
      <c r="A26" s="41"/>
      <c r="B26" s="413"/>
      <c r="C26" s="413"/>
      <c r="D26" s="413"/>
      <c r="E26" s="413"/>
      <c r="F26" s="413"/>
      <c r="G26" s="52"/>
    </row>
    <row r="27" spans="1:7" ht="32.25" customHeight="1" x14ac:dyDescent="0.25">
      <c r="A27" s="41"/>
      <c r="B27" s="413"/>
      <c r="C27" s="413"/>
      <c r="D27" s="413"/>
      <c r="E27" s="413"/>
      <c r="F27" s="413"/>
      <c r="G27" s="52"/>
    </row>
    <row r="28" spans="1:7" ht="32.25" customHeight="1" thickBot="1" x14ac:dyDescent="0.3">
      <c r="A28" s="43"/>
      <c r="B28" s="414"/>
      <c r="C28" s="414"/>
      <c r="D28" s="414"/>
      <c r="E28" s="414"/>
      <c r="F28" s="414"/>
      <c r="G28" s="56"/>
    </row>
  </sheetData>
  <sheetProtection formatCells="0" selectLockedCells="1"/>
  <mergeCells count="18">
    <mergeCell ref="B23:F23"/>
    <mergeCell ref="A20:G20"/>
    <mergeCell ref="A1:F1"/>
    <mergeCell ref="B12:F12"/>
    <mergeCell ref="B13:F13"/>
    <mergeCell ref="B14:F14"/>
    <mergeCell ref="B15:F15"/>
    <mergeCell ref="A11:G11"/>
    <mergeCell ref="B16:F16"/>
    <mergeCell ref="B17:F17"/>
    <mergeCell ref="B18:F18"/>
    <mergeCell ref="B21:F21"/>
    <mergeCell ref="B22:F22"/>
    <mergeCell ref="B24:F24"/>
    <mergeCell ref="B25:F25"/>
    <mergeCell ref="B26:F26"/>
    <mergeCell ref="B27:F27"/>
    <mergeCell ref="B28:F28"/>
  </mergeCells>
  <phoneticPr fontId="0" type="noConversion"/>
  <printOptions horizontalCentered="1"/>
  <pageMargins left="0.39370078740157483" right="0.39370078740157483" top="0.78740157480314965" bottom="0.59055118110236227" header="0.51181102362204722" footer="0.51181102362204722"/>
  <pageSetup paperSize="9" scale="7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:K39"/>
  <sheetViews>
    <sheetView topLeftCell="E1" workbookViewId="0">
      <selection activeCell="G7" sqref="G7"/>
    </sheetView>
  </sheetViews>
  <sheetFormatPr defaultRowHeight="18" x14ac:dyDescent="0.2"/>
  <cols>
    <col min="1" max="1" width="39" style="59" customWidth="1"/>
    <col min="2" max="2" width="30.85546875" style="59" hidden="1" customWidth="1"/>
    <col min="3" max="3" width="19.42578125" style="59" customWidth="1"/>
    <col min="4" max="4" width="30.85546875" style="59" hidden="1" customWidth="1"/>
    <col min="5" max="5" width="59.5703125" style="59" customWidth="1"/>
    <col min="6" max="6" width="26.140625" style="59" customWidth="1"/>
    <col min="7" max="7" width="23.28515625" style="59" customWidth="1"/>
    <col min="8" max="8" width="36.42578125" style="59" customWidth="1"/>
    <col min="9" max="9" width="23.28515625" style="425" customWidth="1"/>
    <col min="10" max="10" width="29.28515625" style="59" customWidth="1"/>
    <col min="11" max="11" width="20" style="59" customWidth="1"/>
    <col min="12" max="16384" width="9.140625" style="59"/>
  </cols>
  <sheetData>
    <row r="1" spans="1:11" x14ac:dyDescent="0.25">
      <c r="A1" s="425" t="s">
        <v>454</v>
      </c>
      <c r="B1" s="426" t="s">
        <v>455</v>
      </c>
      <c r="C1" s="425" t="s">
        <v>456</v>
      </c>
      <c r="D1" s="426" t="s">
        <v>455</v>
      </c>
      <c r="E1" s="425" t="s">
        <v>457</v>
      </c>
      <c r="F1" s="425" t="s">
        <v>458</v>
      </c>
      <c r="G1" s="425" t="s">
        <v>459</v>
      </c>
      <c r="H1" s="425" t="s">
        <v>460</v>
      </c>
      <c r="I1" s="425" t="s">
        <v>4</v>
      </c>
      <c r="J1" s="427" t="s">
        <v>446</v>
      </c>
      <c r="K1" s="425" t="s">
        <v>63</v>
      </c>
    </row>
    <row r="3" spans="1:11" x14ac:dyDescent="0.2">
      <c r="A3" s="428" t="s">
        <v>461</v>
      </c>
      <c r="B3" s="426">
        <v>101</v>
      </c>
      <c r="C3" s="428" t="s">
        <v>462</v>
      </c>
      <c r="D3" s="429">
        <v>101</v>
      </c>
      <c r="E3" s="428" t="s">
        <v>463</v>
      </c>
      <c r="F3" s="428" t="s">
        <v>464</v>
      </c>
      <c r="G3" s="428" t="s">
        <v>465</v>
      </c>
      <c r="H3" s="428" t="s">
        <v>466</v>
      </c>
      <c r="I3" s="428" t="s">
        <v>467</v>
      </c>
      <c r="J3" s="428" t="s">
        <v>468</v>
      </c>
      <c r="K3" s="428" t="s">
        <v>469</v>
      </c>
    </row>
    <row r="4" spans="1:11" x14ac:dyDescent="0.2">
      <c r="A4" s="428" t="s">
        <v>470</v>
      </c>
      <c r="B4" s="426">
        <v>201</v>
      </c>
      <c r="C4" s="428" t="s">
        <v>471</v>
      </c>
      <c r="D4" s="429">
        <v>102</v>
      </c>
      <c r="E4" s="428" t="s">
        <v>472</v>
      </c>
      <c r="F4" s="428" t="s">
        <v>473</v>
      </c>
      <c r="G4" s="428" t="s">
        <v>466</v>
      </c>
      <c r="H4" s="428" t="s">
        <v>474</v>
      </c>
      <c r="I4" s="428" t="s">
        <v>475</v>
      </c>
      <c r="J4" s="428" t="s">
        <v>476</v>
      </c>
      <c r="K4" s="428" t="s">
        <v>477</v>
      </c>
    </row>
    <row r="5" spans="1:11" x14ac:dyDescent="0.2">
      <c r="A5" s="428" t="s">
        <v>478</v>
      </c>
      <c r="B5" s="426">
        <v>301</v>
      </c>
      <c r="C5" s="428" t="s">
        <v>479</v>
      </c>
      <c r="D5" s="429">
        <v>103</v>
      </c>
      <c r="E5" s="428" t="s">
        <v>480</v>
      </c>
      <c r="F5" s="428" t="s">
        <v>481</v>
      </c>
      <c r="G5" s="428" t="s">
        <v>474</v>
      </c>
      <c r="H5" s="428" t="s">
        <v>482</v>
      </c>
      <c r="K5" s="428" t="s">
        <v>483</v>
      </c>
    </row>
    <row r="6" spans="1:11" x14ac:dyDescent="0.2">
      <c r="A6" s="428" t="s">
        <v>484</v>
      </c>
      <c r="B6" s="426">
        <v>401</v>
      </c>
      <c r="C6" s="428" t="s">
        <v>485</v>
      </c>
      <c r="D6" s="429">
        <v>104</v>
      </c>
      <c r="E6" s="428" t="s">
        <v>486</v>
      </c>
      <c r="F6" s="428" t="s">
        <v>487</v>
      </c>
      <c r="G6" s="428" t="s">
        <v>488</v>
      </c>
      <c r="H6" s="428" t="s">
        <v>489</v>
      </c>
    </row>
    <row r="7" spans="1:11" x14ac:dyDescent="0.2">
      <c r="A7" s="428" t="s">
        <v>453</v>
      </c>
      <c r="B7" s="426">
        <v>501</v>
      </c>
      <c r="C7" s="428" t="s">
        <v>490</v>
      </c>
      <c r="D7" s="429">
        <v>105</v>
      </c>
      <c r="E7" s="428" t="s">
        <v>491</v>
      </c>
      <c r="F7" s="428" t="s">
        <v>492</v>
      </c>
      <c r="G7" s="428" t="s">
        <v>493</v>
      </c>
    </row>
    <row r="8" spans="1:11" x14ac:dyDescent="0.2">
      <c r="A8" s="428" t="s">
        <v>494</v>
      </c>
      <c r="B8" s="426">
        <v>601</v>
      </c>
      <c r="C8" s="428" t="s">
        <v>495</v>
      </c>
      <c r="D8" s="429">
        <v>106</v>
      </c>
      <c r="E8" s="428" t="s">
        <v>496</v>
      </c>
      <c r="F8" s="428" t="s">
        <v>497</v>
      </c>
      <c r="G8" s="428"/>
    </row>
    <row r="9" spans="1:11" x14ac:dyDescent="0.2">
      <c r="A9" s="428" t="s">
        <v>498</v>
      </c>
      <c r="B9" s="426">
        <v>701</v>
      </c>
      <c r="C9" s="428" t="s">
        <v>499</v>
      </c>
      <c r="D9" s="429">
        <v>201</v>
      </c>
      <c r="E9" s="428" t="s">
        <v>500</v>
      </c>
      <c r="F9" s="428" t="s">
        <v>501</v>
      </c>
      <c r="G9" s="428"/>
    </row>
    <row r="10" spans="1:11" x14ac:dyDescent="0.2">
      <c r="D10" s="429">
        <v>202</v>
      </c>
      <c r="E10" s="428" t="s">
        <v>502</v>
      </c>
      <c r="F10" s="428" t="s">
        <v>503</v>
      </c>
      <c r="G10" s="428"/>
    </row>
    <row r="11" spans="1:11" x14ac:dyDescent="0.2">
      <c r="D11" s="429">
        <v>203</v>
      </c>
      <c r="E11" s="428" t="s">
        <v>504</v>
      </c>
      <c r="F11" s="428" t="s">
        <v>505</v>
      </c>
      <c r="G11" s="428"/>
    </row>
    <row r="12" spans="1:11" x14ac:dyDescent="0.2">
      <c r="D12" s="429">
        <v>204</v>
      </c>
      <c r="E12" s="428" t="s">
        <v>506</v>
      </c>
      <c r="F12" s="428" t="s">
        <v>507</v>
      </c>
    </row>
    <row r="13" spans="1:11" x14ac:dyDescent="0.2">
      <c r="D13" s="429">
        <v>301</v>
      </c>
      <c r="E13" s="428" t="s">
        <v>508</v>
      </c>
      <c r="F13" s="428" t="s">
        <v>509</v>
      </c>
    </row>
    <row r="14" spans="1:11" x14ac:dyDescent="0.2">
      <c r="D14" s="429">
        <v>302</v>
      </c>
      <c r="E14" s="428" t="s">
        <v>510</v>
      </c>
      <c r="F14" s="428" t="s">
        <v>511</v>
      </c>
    </row>
    <row r="15" spans="1:11" x14ac:dyDescent="0.2">
      <c r="D15" s="429">
        <v>303</v>
      </c>
      <c r="E15" s="428" t="s">
        <v>512</v>
      </c>
      <c r="F15" s="428" t="s">
        <v>513</v>
      </c>
    </row>
    <row r="16" spans="1:11" x14ac:dyDescent="0.2">
      <c r="D16" s="429">
        <v>304</v>
      </c>
      <c r="E16" s="428" t="s">
        <v>514</v>
      </c>
      <c r="F16" s="428" t="s">
        <v>515</v>
      </c>
    </row>
    <row r="17" spans="4:6" x14ac:dyDescent="0.2">
      <c r="D17" s="429">
        <v>305</v>
      </c>
      <c r="E17" s="428" t="s">
        <v>516</v>
      </c>
      <c r="F17" s="428" t="s">
        <v>517</v>
      </c>
    </row>
    <row r="18" spans="4:6" x14ac:dyDescent="0.2">
      <c r="D18" s="429">
        <v>401</v>
      </c>
      <c r="E18" s="428" t="s">
        <v>518</v>
      </c>
      <c r="F18" s="428" t="s">
        <v>519</v>
      </c>
    </row>
    <row r="19" spans="4:6" x14ac:dyDescent="0.2">
      <c r="D19" s="429">
        <v>402</v>
      </c>
      <c r="E19" s="428" t="s">
        <v>520</v>
      </c>
      <c r="F19" s="428" t="s">
        <v>521</v>
      </c>
    </row>
    <row r="20" spans="4:6" x14ac:dyDescent="0.2">
      <c r="D20" s="429">
        <v>403</v>
      </c>
      <c r="E20" s="428" t="s">
        <v>522</v>
      </c>
      <c r="F20" s="428" t="s">
        <v>523</v>
      </c>
    </row>
    <row r="21" spans="4:6" x14ac:dyDescent="0.2">
      <c r="D21" s="429">
        <v>404</v>
      </c>
      <c r="E21" s="428" t="s">
        <v>524</v>
      </c>
      <c r="F21" s="428" t="s">
        <v>525</v>
      </c>
    </row>
    <row r="22" spans="4:6" x14ac:dyDescent="0.2">
      <c r="D22" s="429">
        <v>405</v>
      </c>
      <c r="E22" s="428" t="s">
        <v>526</v>
      </c>
      <c r="F22" s="428" t="s">
        <v>527</v>
      </c>
    </row>
    <row r="23" spans="4:6" x14ac:dyDescent="0.2">
      <c r="D23" s="429">
        <v>406</v>
      </c>
      <c r="E23" s="428" t="s">
        <v>528</v>
      </c>
      <c r="F23" s="428" t="s">
        <v>529</v>
      </c>
    </row>
    <row r="24" spans="4:6" x14ac:dyDescent="0.2">
      <c r="D24" s="429">
        <v>501</v>
      </c>
      <c r="E24" s="428" t="s">
        <v>530</v>
      </c>
      <c r="F24" s="428" t="s">
        <v>531</v>
      </c>
    </row>
    <row r="25" spans="4:6" x14ac:dyDescent="0.2">
      <c r="D25" s="429">
        <v>502</v>
      </c>
      <c r="E25" s="428" t="s">
        <v>532</v>
      </c>
      <c r="F25" s="428" t="s">
        <v>533</v>
      </c>
    </row>
    <row r="26" spans="4:6" x14ac:dyDescent="0.2">
      <c r="D26" s="429">
        <v>503</v>
      </c>
      <c r="E26" s="428" t="s">
        <v>534</v>
      </c>
      <c r="F26" s="428" t="s">
        <v>535</v>
      </c>
    </row>
    <row r="27" spans="4:6" x14ac:dyDescent="0.2">
      <c r="D27" s="429">
        <v>504</v>
      </c>
      <c r="E27" s="428" t="s">
        <v>536</v>
      </c>
      <c r="F27" s="428" t="s">
        <v>537</v>
      </c>
    </row>
    <row r="28" spans="4:6" x14ac:dyDescent="0.2">
      <c r="D28" s="429">
        <v>505</v>
      </c>
      <c r="E28" s="428" t="s">
        <v>538</v>
      </c>
      <c r="F28" s="428" t="s">
        <v>539</v>
      </c>
    </row>
    <row r="29" spans="4:6" x14ac:dyDescent="0.2">
      <c r="D29" s="429">
        <v>506</v>
      </c>
      <c r="E29" s="428" t="s">
        <v>540</v>
      </c>
      <c r="F29" s="428" t="s">
        <v>541</v>
      </c>
    </row>
    <row r="30" spans="4:6" x14ac:dyDescent="0.2">
      <c r="D30" s="429">
        <v>507</v>
      </c>
      <c r="E30" s="428" t="s">
        <v>542</v>
      </c>
      <c r="F30" s="428" t="s">
        <v>543</v>
      </c>
    </row>
    <row r="31" spans="4:6" x14ac:dyDescent="0.2">
      <c r="D31" s="429">
        <v>601</v>
      </c>
      <c r="E31" s="428" t="s">
        <v>544</v>
      </c>
      <c r="F31" s="428" t="s">
        <v>545</v>
      </c>
    </row>
    <row r="32" spans="4:6" x14ac:dyDescent="0.2">
      <c r="D32" s="429">
        <v>602</v>
      </c>
      <c r="E32" s="428" t="s">
        <v>546</v>
      </c>
      <c r="F32" s="428" t="s">
        <v>547</v>
      </c>
    </row>
    <row r="33" spans="4:6" x14ac:dyDescent="0.2">
      <c r="D33" s="429">
        <v>603</v>
      </c>
      <c r="E33" s="428" t="s">
        <v>548</v>
      </c>
      <c r="F33" s="428" t="s">
        <v>549</v>
      </c>
    </row>
    <row r="34" spans="4:6" x14ac:dyDescent="0.2">
      <c r="D34" s="429">
        <v>604</v>
      </c>
      <c r="E34" s="428" t="s">
        <v>550</v>
      </c>
      <c r="F34" s="428" t="s">
        <v>551</v>
      </c>
    </row>
    <row r="35" spans="4:6" x14ac:dyDescent="0.2">
      <c r="D35" s="429">
        <v>701</v>
      </c>
      <c r="E35" s="428" t="s">
        <v>552</v>
      </c>
      <c r="F35" s="428" t="s">
        <v>553</v>
      </c>
    </row>
    <row r="36" spans="4:6" x14ac:dyDescent="0.2">
      <c r="D36" s="429">
        <v>702</v>
      </c>
      <c r="E36" s="428" t="s">
        <v>554</v>
      </c>
      <c r="F36" s="428" t="s">
        <v>555</v>
      </c>
    </row>
    <row r="37" spans="4:6" x14ac:dyDescent="0.2">
      <c r="D37" s="429">
        <v>703</v>
      </c>
      <c r="E37" s="428" t="s">
        <v>556</v>
      </c>
      <c r="F37" s="428" t="s">
        <v>557</v>
      </c>
    </row>
    <row r="38" spans="4:6" x14ac:dyDescent="0.2">
      <c r="D38" s="429"/>
      <c r="E38" s="428"/>
      <c r="F38" s="428"/>
    </row>
    <row r="39" spans="4:6" x14ac:dyDescent="0.2">
      <c r="D39" s="429"/>
      <c r="E39" s="428"/>
      <c r="F39" s="42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0000"/>
  </sheetPr>
  <dimension ref="A1:D103"/>
  <sheetViews>
    <sheetView topLeftCell="A73" zoomScale="60" zoomScaleNormal="60" workbookViewId="0">
      <selection activeCell="B43" sqref="B43"/>
    </sheetView>
  </sheetViews>
  <sheetFormatPr defaultColWidth="4.5703125" defaultRowHeight="15" x14ac:dyDescent="0.25"/>
  <cols>
    <col min="1" max="1" width="5.7109375" style="186" customWidth="1"/>
    <col min="2" max="2" width="171.5703125" customWidth="1"/>
    <col min="3" max="3" width="29" customWidth="1"/>
    <col min="4" max="4" width="9.7109375" style="2" hidden="1" customWidth="1"/>
  </cols>
  <sheetData>
    <row r="1" spans="1:4" s="59" customFormat="1" ht="55.5" customHeight="1" x14ac:dyDescent="0.25">
      <c r="A1" s="186"/>
      <c r="D1" s="2"/>
    </row>
    <row r="2" spans="1:4" s="59" customFormat="1" ht="31.5" customHeight="1" x14ac:dyDescent="0.25">
      <c r="A2" s="268" t="s">
        <v>436</v>
      </c>
      <c r="B2" s="269" t="s">
        <v>435</v>
      </c>
      <c r="C2" s="271" t="s">
        <v>437</v>
      </c>
      <c r="D2" s="2"/>
    </row>
    <row r="3" spans="1:4" s="59" customFormat="1" x14ac:dyDescent="0.25">
      <c r="A3" s="184"/>
      <c r="B3" s="198"/>
      <c r="C3" s="199"/>
      <c r="D3" s="2"/>
    </row>
    <row r="4" spans="1:4" s="59" customFormat="1" x14ac:dyDescent="0.25">
      <c r="A4" s="184"/>
      <c r="B4" s="198"/>
      <c r="C4" s="199"/>
      <c r="D4" s="2"/>
    </row>
    <row r="5" spans="1:4" s="59" customFormat="1" x14ac:dyDescent="0.25">
      <c r="A5" s="184"/>
      <c r="B5" s="198"/>
      <c r="C5" s="199"/>
      <c r="D5" s="2"/>
    </row>
    <row r="6" spans="1:4" s="59" customFormat="1" x14ac:dyDescent="0.25">
      <c r="A6" s="184"/>
      <c r="B6" s="198"/>
      <c r="C6" s="199"/>
      <c r="D6" s="2"/>
    </row>
    <row r="7" spans="1:4" s="59" customFormat="1" x14ac:dyDescent="0.25">
      <c r="A7" s="184"/>
      <c r="B7" s="198"/>
      <c r="C7" s="199"/>
      <c r="D7" s="2"/>
    </row>
    <row r="8" spans="1:4" s="59" customFormat="1" x14ac:dyDescent="0.25">
      <c r="A8" s="184"/>
      <c r="B8" s="198"/>
      <c r="C8" s="199"/>
      <c r="D8" s="2"/>
    </row>
    <row r="9" spans="1:4" s="59" customFormat="1" x14ac:dyDescent="0.25">
      <c r="A9" s="184"/>
      <c r="B9" s="198"/>
      <c r="C9" s="199"/>
      <c r="D9" s="2"/>
    </row>
    <row r="10" spans="1:4" s="59" customFormat="1" x14ac:dyDescent="0.25">
      <c r="A10" s="184"/>
      <c r="B10" s="198"/>
      <c r="C10" s="199"/>
      <c r="D10" s="2"/>
    </row>
    <row r="11" spans="1:4" s="59" customFormat="1" x14ac:dyDescent="0.25">
      <c r="A11" s="184"/>
      <c r="B11" s="198"/>
      <c r="C11" s="199"/>
      <c r="D11" s="2"/>
    </row>
    <row r="12" spans="1:4" s="59" customFormat="1" ht="10.5" customHeight="1" x14ac:dyDescent="0.25">
      <c r="A12" s="186"/>
      <c r="D12" s="2"/>
    </row>
    <row r="13" spans="1:4" ht="33.75" customHeight="1" x14ac:dyDescent="0.25">
      <c r="A13" s="268" t="s">
        <v>436</v>
      </c>
      <c r="B13" s="269" t="s">
        <v>435</v>
      </c>
      <c r="C13" s="271" t="s">
        <v>437</v>
      </c>
    </row>
    <row r="14" spans="1:4" ht="18" x14ac:dyDescent="0.25">
      <c r="A14" s="196" t="s">
        <v>95</v>
      </c>
      <c r="B14" s="171" t="s">
        <v>105</v>
      </c>
      <c r="C14" s="264">
        <v>1</v>
      </c>
      <c r="D14" s="2" t="str">
        <f>CONCATENATE(A14," ", B14)</f>
        <v>1.1.1.1 Підготовка конспектів лекцій: за новою дисципліною</v>
      </c>
    </row>
    <row r="15" spans="1:4" ht="18" x14ac:dyDescent="0.25">
      <c r="A15" s="196" t="s">
        <v>96</v>
      </c>
      <c r="B15" s="171" t="s">
        <v>104</v>
      </c>
      <c r="C15" s="264">
        <v>2</v>
      </c>
      <c r="D15" s="2" t="str">
        <f t="shared" ref="D15:D78" si="0">CONCATENATE(A15," ", B15)</f>
        <v>1.1.1.2 Підготовка конспектів лекцій: оновлення конспекту лекцій:</v>
      </c>
    </row>
    <row r="16" spans="1:4" ht="18" x14ac:dyDescent="0.25">
      <c r="A16" s="196" t="s">
        <v>97</v>
      </c>
      <c r="B16" s="171" t="s">
        <v>103</v>
      </c>
      <c r="C16" s="264">
        <v>3</v>
      </c>
      <c r="D16" s="2" t="str">
        <f t="shared" si="0"/>
        <v>1.1.2.1 Підготовка конспектів лекцій іноземною мовою: за новою дисципліною:</v>
      </c>
    </row>
    <row r="17" spans="1:4" ht="18" x14ac:dyDescent="0.25">
      <c r="A17" s="196" t="s">
        <v>98</v>
      </c>
      <c r="B17" s="171" t="s">
        <v>102</v>
      </c>
      <c r="C17" s="264">
        <v>4</v>
      </c>
      <c r="D17" s="2" t="str">
        <f t="shared" si="0"/>
        <v>1.1.2.2 Підготовка конспектів лекцій іноземною мовою:оновлення конспекту лекцій:</v>
      </c>
    </row>
    <row r="18" spans="1:4" ht="18" x14ac:dyDescent="0.25">
      <c r="A18" s="196" t="s">
        <v>327</v>
      </c>
      <c r="B18" s="172" t="s">
        <v>94</v>
      </c>
      <c r="C18" s="264">
        <v>5</v>
      </c>
      <c r="D18" s="2" t="str">
        <f t="shared" si="0"/>
        <v>1.1.3 Підготовка засобів активізації навчально-пізнавальної діяльності (технічної візуалізації)</v>
      </c>
    </row>
    <row r="19" spans="1:4" ht="18" x14ac:dyDescent="0.25">
      <c r="A19" s="196" t="s">
        <v>99</v>
      </c>
      <c r="B19" s="171" t="s">
        <v>101</v>
      </c>
      <c r="C19" s="264">
        <v>6</v>
      </c>
      <c r="D19" s="2" t="str">
        <f t="shared" si="0"/>
        <v>1.1.4.1 Підготовка методичних матеріалів семінарських, практичних, лабораторних занять:за новою дисципліною</v>
      </c>
    </row>
    <row r="20" spans="1:4" ht="18" x14ac:dyDescent="0.25">
      <c r="A20" s="196" t="s">
        <v>106</v>
      </c>
      <c r="B20" s="173" t="s">
        <v>100</v>
      </c>
      <c r="C20" s="264">
        <v>7</v>
      </c>
      <c r="D20" s="2" t="str">
        <f t="shared" si="0"/>
        <v>1.1.4.2 Підготовка методичних матеріалів семінарських, практичних, лабораторних занять: оновлення методичних матеріалів</v>
      </c>
    </row>
    <row r="21" spans="1:4" ht="18" x14ac:dyDescent="0.25">
      <c r="A21" s="196" t="s">
        <v>107</v>
      </c>
      <c r="B21" s="173" t="s">
        <v>109</v>
      </c>
      <c r="C21" s="264">
        <v>8</v>
      </c>
      <c r="D21" s="2" t="str">
        <f t="shared" si="0"/>
        <v>1.1.5.1 Підготовка методичних матеріалів семінарських, практичних, лабораторних занять іноземною мовою:за новою дисципліною</v>
      </c>
    </row>
    <row r="22" spans="1:4" ht="18" x14ac:dyDescent="0.25">
      <c r="A22" s="196" t="s">
        <v>108</v>
      </c>
      <c r="B22" s="173" t="s">
        <v>110</v>
      </c>
      <c r="C22" s="264">
        <v>9</v>
      </c>
      <c r="D22" s="2" t="str">
        <f t="shared" si="0"/>
        <v>1.1.5.2 Підготовка методичних матеріалів семінарських, практичних, лабораторних занять іноземною мовою:оновлення методичних матеріалів</v>
      </c>
    </row>
    <row r="23" spans="1:4" ht="18" x14ac:dyDescent="0.25">
      <c r="A23" s="195" t="s">
        <v>111</v>
      </c>
      <c r="B23" s="173" t="s">
        <v>120</v>
      </c>
      <c r="C23" s="264">
        <v>10</v>
      </c>
      <c r="D23" s="2" t="str">
        <f t="shared" si="0"/>
        <v>1.2.1.1 Підготовка матеріалів до самостійної роботи студентів (СРС): розробка змісту та завдань до СРС</v>
      </c>
    </row>
    <row r="24" spans="1:4" ht="18" x14ac:dyDescent="0.25">
      <c r="A24" s="195" t="s">
        <v>112</v>
      </c>
      <c r="B24" s="173" t="s">
        <v>121</v>
      </c>
      <c r="C24" s="264">
        <v>11</v>
      </c>
      <c r="D24" s="2" t="str">
        <f t="shared" si="0"/>
        <v>1.2.1.2 Підготовка матеріалів до самостійної роботи студентів (СРС): розробка методичного супроводу щодо виконання завдань для СРС</v>
      </c>
    </row>
    <row r="25" spans="1:4" ht="18" x14ac:dyDescent="0.25">
      <c r="A25" s="195" t="s">
        <v>113</v>
      </c>
      <c r="B25" s="173" t="s">
        <v>122</v>
      </c>
      <c r="C25" s="264">
        <v>12</v>
      </c>
      <c r="D25" s="2" t="str">
        <f t="shared" si="0"/>
        <v>1.2.1.3 Підготовка матеріалів до самостійної роботи студентів (СРС): оновлення методичних матеріалів СРС</v>
      </c>
    </row>
    <row r="26" spans="1:4" ht="18" x14ac:dyDescent="0.25">
      <c r="A26" s="195" t="s">
        <v>114</v>
      </c>
      <c r="B26" s="173" t="s">
        <v>117</v>
      </c>
      <c r="C26" s="264">
        <v>13</v>
      </c>
      <c r="D26" s="2" t="str">
        <f t="shared" si="0"/>
        <v>1.2.2.1 Підготовка матеріалів до СРС іноземною мовою: розробка змісту та завдань до СРС</v>
      </c>
    </row>
    <row r="27" spans="1:4" ht="18" x14ac:dyDescent="0.25">
      <c r="A27" s="195" t="s">
        <v>115</v>
      </c>
      <c r="B27" s="173" t="s">
        <v>118</v>
      </c>
      <c r="C27" s="264">
        <v>14</v>
      </c>
      <c r="D27" s="2" t="str">
        <f t="shared" si="0"/>
        <v>1.2.2.2 Підготовка матеріалів до СРС іноземною мовою: розробка методичного супроводу щодо виконання завдань для СРС</v>
      </c>
    </row>
    <row r="28" spans="1:4" ht="18" x14ac:dyDescent="0.25">
      <c r="A28" s="195" t="s">
        <v>116</v>
      </c>
      <c r="B28" s="173" t="s">
        <v>119</v>
      </c>
      <c r="C28" s="264">
        <v>15</v>
      </c>
      <c r="D28" s="2" t="str">
        <f t="shared" si="0"/>
        <v>1.2.2.3 Підготовка матеріалів до СРС іноземною мовою: оновлення методичних матеріалів СРС</v>
      </c>
    </row>
    <row r="29" spans="1:4" ht="18" x14ac:dyDescent="0.25">
      <c r="A29" s="195" t="s">
        <v>123</v>
      </c>
      <c r="B29" s="173" t="s">
        <v>129</v>
      </c>
      <c r="C29" s="264">
        <v>16</v>
      </c>
      <c r="D29" s="2" t="str">
        <f t="shared" si="0"/>
        <v>1.2.3.1 Розробка засобів діагностики поточного та підсумкового контролю: розробка засобів поточного контролю</v>
      </c>
    </row>
    <row r="30" spans="1:4" ht="18" x14ac:dyDescent="0.25">
      <c r="A30" s="195" t="s">
        <v>124</v>
      </c>
      <c r="B30" s="173" t="s">
        <v>130</v>
      </c>
      <c r="C30" s="264">
        <v>17</v>
      </c>
      <c r="D30" s="2" t="str">
        <f t="shared" si="0"/>
        <v>1.2.3.2 Розробка засобів діагностики поточного та підсумкового контролю: складання екзаменаційних білетів</v>
      </c>
    </row>
    <row r="31" spans="1:4" ht="18" x14ac:dyDescent="0.25">
      <c r="A31" s="195" t="s">
        <v>125</v>
      </c>
      <c r="B31" s="173" t="s">
        <v>131</v>
      </c>
      <c r="C31" s="264">
        <v>18</v>
      </c>
      <c r="D31" s="2" t="str">
        <f t="shared" si="0"/>
        <v>1.2.3.3 Розробка засобів діагностики поточного та підсумкового контролю: складання екзаменаційних білетів до вступних екзаменів (письмових та усних)</v>
      </c>
    </row>
    <row r="32" spans="1:4" ht="18" x14ac:dyDescent="0.25">
      <c r="A32" s="195" t="s">
        <v>126</v>
      </c>
      <c r="B32" s="173" t="s">
        <v>132</v>
      </c>
      <c r="C32" s="264">
        <v>19</v>
      </c>
      <c r="D32" s="2" t="str">
        <f t="shared" si="0"/>
        <v>1.2.3.4 Розробка засобів діагностики поточного та підсумкового контролю: складання кваліфікаційних завдань до Державного екзамену</v>
      </c>
    </row>
    <row r="33" spans="1:4" ht="18" x14ac:dyDescent="0.25">
      <c r="A33" s="195" t="s">
        <v>127</v>
      </c>
      <c r="B33" s="173" t="s">
        <v>133</v>
      </c>
      <c r="C33" s="264">
        <v>20</v>
      </c>
      <c r="D33" s="2" t="str">
        <f t="shared" si="0"/>
        <v>1.2.3.5 Розробка засобів діагностики поточного та підсумкового контролю: складання завдань для проведення олімпіади (за наявності наказу)</v>
      </c>
    </row>
    <row r="34" spans="1:4" ht="18" x14ac:dyDescent="0.25">
      <c r="A34" s="195" t="s">
        <v>128</v>
      </c>
      <c r="B34" s="173" t="s">
        <v>134</v>
      </c>
      <c r="C34" s="264">
        <v>21</v>
      </c>
      <c r="D34" s="2" t="str">
        <f t="shared" si="0"/>
        <v>1.2.3.6 Розробка засобів діагностики поточного та підсумкового контролю: розробка комплексних контрольних робіт для перевірки залишкових знань (за наявності наказу)</v>
      </c>
    </row>
    <row r="35" spans="1:4" ht="18" x14ac:dyDescent="0.25">
      <c r="A35" s="195" t="s">
        <v>366</v>
      </c>
      <c r="B35" s="173" t="s">
        <v>137</v>
      </c>
      <c r="C35" s="264">
        <v>22</v>
      </c>
      <c r="D35" s="2" t="str">
        <f t="shared" si="0"/>
        <v>1.2.4 Оновлення засобів діагностики поточного та підсумкового контролю</v>
      </c>
    </row>
    <row r="36" spans="1:4" ht="18" x14ac:dyDescent="0.25">
      <c r="A36" s="195" t="s">
        <v>135</v>
      </c>
      <c r="B36" s="173" t="s">
        <v>138</v>
      </c>
      <c r="C36" s="264">
        <v>23</v>
      </c>
      <c r="D36" s="2" t="str">
        <f t="shared" si="0"/>
        <v>1.2.5.1 Розробка та оновлення засобів поточного та підсумкового контролю іноземною мовою: розробка</v>
      </c>
    </row>
    <row r="37" spans="1:4" ht="18" x14ac:dyDescent="0.25">
      <c r="A37" s="195" t="s">
        <v>136</v>
      </c>
      <c r="B37" s="173" t="s">
        <v>139</v>
      </c>
      <c r="C37" s="264">
        <v>24</v>
      </c>
      <c r="D37" s="2" t="str">
        <f t="shared" si="0"/>
        <v>1.2.5.2 Розробка та оновлення засобів поточного та підсумкового контролю іноземною мовою: оновлення</v>
      </c>
    </row>
    <row r="38" spans="1:4" ht="18" x14ac:dyDescent="0.25">
      <c r="A38" s="197" t="s">
        <v>329</v>
      </c>
      <c r="B38" s="175" t="s">
        <v>140</v>
      </c>
      <c r="C38" s="264">
        <v>25</v>
      </c>
      <c r="D38" s="2" t="str">
        <f t="shared" si="0"/>
        <v>1.3.1 Розробка авторських ігрових форм навчання (ділових, рольових, імітаційних ігор та ін.)</v>
      </c>
    </row>
    <row r="39" spans="1:4" ht="18" x14ac:dyDescent="0.25">
      <c r="A39" s="197" t="s">
        <v>143</v>
      </c>
      <c r="B39" s="175" t="s">
        <v>141</v>
      </c>
      <c r="C39" s="264">
        <v>26</v>
      </c>
      <c r="D39" s="2" t="str">
        <f t="shared" si="0"/>
        <v>1.3.2.1 Розробка авторських тренінгів</v>
      </c>
    </row>
    <row r="40" spans="1:4" ht="18" x14ac:dyDescent="0.25">
      <c r="A40" s="197" t="s">
        <v>144</v>
      </c>
      <c r="B40" s="175" t="s">
        <v>145</v>
      </c>
      <c r="C40" s="264">
        <v>27</v>
      </c>
      <c r="D40" s="2" t="str">
        <f t="shared" si="0"/>
        <v>1.3.2.2 Розробка авторських тренінгів: оновлення</v>
      </c>
    </row>
    <row r="41" spans="1:4" ht="26.25" x14ac:dyDescent="0.25">
      <c r="A41" s="197" t="s">
        <v>328</v>
      </c>
      <c r="B41" s="176" t="s">
        <v>142</v>
      </c>
      <c r="C41" s="264">
        <v>28</v>
      </c>
      <c r="D41" s="2" t="str">
        <f t="shared" si="0"/>
        <v>1.3.3 Авторська розробка кейсів, проблемних завдань та ситуацій для реалізації проблемних методів навчання, завдань та вправ для реалізації
 інтерактивних технологій навчання, диференційованого навчання, реалізації методу проектів тощо</v>
      </c>
    </row>
    <row r="42" spans="1:4" ht="18" x14ac:dyDescent="0.25">
      <c r="A42" s="195" t="s">
        <v>146</v>
      </c>
      <c r="B42" s="173" t="s">
        <v>148</v>
      </c>
      <c r="C42" s="264">
        <v>29</v>
      </c>
      <c r="D42" s="2" t="str">
        <f t="shared" si="0"/>
        <v>1.4.1.1 Завантаження матеріалів у програмне середовище</v>
      </c>
    </row>
    <row r="43" spans="1:4" ht="18" x14ac:dyDescent="0.25">
      <c r="A43" s="195" t="s">
        <v>147</v>
      </c>
      <c r="B43" s="173" t="s">
        <v>149</v>
      </c>
      <c r="C43" s="264">
        <v>30</v>
      </c>
      <c r="D43" s="2" t="str">
        <f t="shared" si="0"/>
        <v>1.4.1.2 Завантаження матеріалів у програмне середовище: ведення журналу успішності у системі Moodle</v>
      </c>
    </row>
    <row r="44" spans="1:4" ht="18" x14ac:dyDescent="0.25">
      <c r="A44" s="195" t="s">
        <v>331</v>
      </c>
      <c r="B44" s="173" t="s">
        <v>150</v>
      </c>
      <c r="C44" s="264">
        <v>31</v>
      </c>
      <c r="D44" s="2" t="str">
        <f t="shared" si="0"/>
        <v>1.4.2 Завантаження лекційних матеріалів навчальної дисципліни у програмне середовище (конспект лекцій, презентації, відео, аудіо, тощо)</v>
      </c>
    </row>
    <row r="45" spans="1:4" ht="18" x14ac:dyDescent="0.25">
      <c r="A45" s="195" t="s">
        <v>332</v>
      </c>
      <c r="B45" s="173" t="s">
        <v>151</v>
      </c>
      <c r="C45" s="264">
        <v>32</v>
      </c>
      <c r="D45" s="2" t="str">
        <f t="shared" si="0"/>
        <v>1.4.3 Завантаження матеріалів до практичних (семінарсь-ких, лабораторних) занять навчальної дисципліни у програмне середовище</v>
      </c>
    </row>
    <row r="46" spans="1:4" ht="18" x14ac:dyDescent="0.25">
      <c r="A46" s="195" t="s">
        <v>333</v>
      </c>
      <c r="B46" s="177" t="s">
        <v>152</v>
      </c>
      <c r="C46" s="264">
        <v>33</v>
      </c>
      <c r="D46" s="2" t="str">
        <f t="shared" si="0"/>
        <v>1.4.4 Розробка глосарію у системі Moodle: не меньш 50 визначень</v>
      </c>
    </row>
    <row r="47" spans="1:4" ht="18" x14ac:dyDescent="0.25">
      <c r="A47" s="195" t="s">
        <v>334</v>
      </c>
      <c r="B47" s="173" t="s">
        <v>153</v>
      </c>
      <c r="C47" s="264">
        <v>34</v>
      </c>
      <c r="D47" s="2" t="str">
        <f t="shared" si="0"/>
        <v>1.4.5 Організація та ведення Вікі, Чату та/або Форуму</v>
      </c>
    </row>
    <row r="48" spans="1:4" ht="18" x14ac:dyDescent="0.25">
      <c r="A48" s="195" t="s">
        <v>335</v>
      </c>
      <c r="B48" s="173" t="s">
        <v>181</v>
      </c>
      <c r="C48" s="264">
        <v>35</v>
      </c>
      <c r="D48" s="2" t="str">
        <f t="shared" si="0"/>
        <v>1.4.6 Використання інтерактивного інструменту «Завдання»</v>
      </c>
    </row>
    <row r="49" spans="1:4" ht="18" x14ac:dyDescent="0.25">
      <c r="A49" s="195" t="s">
        <v>336</v>
      </c>
      <c r="B49" s="173" t="s">
        <v>182</v>
      </c>
      <c r="C49" s="264">
        <v>36</v>
      </c>
      <c r="D49" s="2" t="str">
        <f t="shared" si="0"/>
        <v>1.4.7 Використання інтерактивного інструменту «Тестування»</v>
      </c>
    </row>
    <row r="50" spans="1:4" ht="18" x14ac:dyDescent="0.25">
      <c r="A50" s="196" t="s">
        <v>154</v>
      </c>
      <c r="B50" s="173" t="s">
        <v>155</v>
      </c>
      <c r="C50" s="264">
        <v>37</v>
      </c>
      <c r="D50" s="2" t="str">
        <f t="shared" si="0"/>
        <v>1.5.1.1 Розробка освітньо-професійних та освітньо-наукових програм підготовки фахівців: розробка програм</v>
      </c>
    </row>
    <row r="51" spans="1:4" ht="18" x14ac:dyDescent="0.25">
      <c r="A51" s="196" t="s">
        <v>157</v>
      </c>
      <c r="B51" s="173" t="s">
        <v>156</v>
      </c>
      <c r="C51" s="264">
        <v>38</v>
      </c>
      <c r="D51" s="2" t="str">
        <f t="shared" si="0"/>
        <v>1.5.1.2 Розробка освітньо-професійних та освітньо-наукових програм підготовки фахівців: оновлення програм</v>
      </c>
    </row>
    <row r="52" spans="1:4" ht="18" x14ac:dyDescent="0.25">
      <c r="A52" s="196" t="s">
        <v>158</v>
      </c>
      <c r="B52" s="173" t="s">
        <v>160</v>
      </c>
      <c r="C52" s="264">
        <v>39</v>
      </c>
      <c r="D52" s="2" t="str">
        <f t="shared" si="0"/>
        <v>1.5.2.1 Розробка засобів діагностики якості вищої освіти: розробка засобів діагностики</v>
      </c>
    </row>
    <row r="53" spans="1:4" ht="18" x14ac:dyDescent="0.25">
      <c r="A53" s="196" t="s">
        <v>159</v>
      </c>
      <c r="B53" s="173" t="s">
        <v>161</v>
      </c>
      <c r="C53" s="264">
        <v>40</v>
      </c>
      <c r="D53" s="2" t="str">
        <f t="shared" si="0"/>
        <v>1.5.2.2 Розробка засобів діагностики якості вищої освіти: оновлення засобів діагностики</v>
      </c>
    </row>
    <row r="54" spans="1:4" ht="18" x14ac:dyDescent="0.25">
      <c r="A54" s="196" t="s">
        <v>330</v>
      </c>
      <c r="B54" s="173" t="s">
        <v>162</v>
      </c>
      <c r="C54" s="264">
        <v>41</v>
      </c>
      <c r="D54" s="2" t="str">
        <f t="shared" si="0"/>
        <v>1.5.3 Підготовка інформаційних матеріалів до акредитації, ліцензування</v>
      </c>
    </row>
    <row r="55" spans="1:4" ht="18" x14ac:dyDescent="0.25">
      <c r="A55" s="196" t="s">
        <v>163</v>
      </c>
      <c r="B55" s="173" t="s">
        <v>165</v>
      </c>
      <c r="C55" s="264">
        <v>42</v>
      </c>
      <c r="D55" s="2" t="str">
        <f t="shared" si="0"/>
        <v>1.5.4.1 Підготовка навчальних планів та робочих навчальних планів відповідних освітньо-професійних та освітньо-наукових програм: підготовка навчального плану</v>
      </c>
    </row>
    <row r="56" spans="1:4" ht="18" x14ac:dyDescent="0.25">
      <c r="A56" s="196" t="s">
        <v>164</v>
      </c>
      <c r="B56" s="173" t="s">
        <v>166</v>
      </c>
      <c r="C56" s="264">
        <v>43</v>
      </c>
      <c r="D56" s="2" t="str">
        <f t="shared" si="0"/>
        <v>1.5.4.2 Підготовка навчальних планів та робочих навчальних планів відповідних освітньо-професійних та освітньо-наукових програм: підготовка робочого навчального плану</v>
      </c>
    </row>
    <row r="57" spans="1:4" ht="18" x14ac:dyDescent="0.25">
      <c r="A57" s="196" t="s">
        <v>365</v>
      </c>
      <c r="B57" s="173" t="s">
        <v>167</v>
      </c>
      <c r="C57" s="264">
        <v>44</v>
      </c>
      <c r="D57" s="2" t="str">
        <f t="shared" si="0"/>
        <v>1.5.5 Підготовка матеріалів освітньо-професійних та освітньо-наукових програм для оприлюднен-ня на сайті університету</v>
      </c>
    </row>
    <row r="58" spans="1:4" ht="18" x14ac:dyDescent="0.25">
      <c r="A58" s="196" t="s">
        <v>168</v>
      </c>
      <c r="B58" s="173" t="s">
        <v>172</v>
      </c>
      <c r="C58" s="264">
        <v>45</v>
      </c>
      <c r="D58" s="2" t="str">
        <f t="shared" si="0"/>
        <v>1.5.6.1 Розробка варіативної складової освітньо-професійних та освітньо-наукових програм: розробка варіативної навчальної дисципліни (вільний МАЙНОР, МАГ-МАЙНОР)</v>
      </c>
    </row>
    <row r="59" spans="1:4" ht="18" x14ac:dyDescent="0.25">
      <c r="A59" s="196" t="s">
        <v>169</v>
      </c>
      <c r="B59" s="173" t="s">
        <v>171</v>
      </c>
      <c r="C59" s="264">
        <v>46</v>
      </c>
      <c r="D59" s="2" t="str">
        <f t="shared" si="0"/>
        <v>1.5.6.2 Розробка варіативної складової освітньо-професійних та освітньо-наукових програм: розробка блоку варіативних навчальних дисциплін (МАЙНОР, МЕЙДЖОР)</v>
      </c>
    </row>
    <row r="60" spans="1:4" ht="18" x14ac:dyDescent="0.25">
      <c r="A60" s="196" t="s">
        <v>170</v>
      </c>
      <c r="B60" s="173" t="s">
        <v>173</v>
      </c>
      <c r="C60" s="264">
        <v>47</v>
      </c>
      <c r="D60" s="2" t="str">
        <f t="shared" si="0"/>
        <v>1.5.6.3 Розробка варіативної складової освітньо-професійних та освітньо-наукових програм: оновлення варіативної складової</v>
      </c>
    </row>
    <row r="61" spans="1:4" ht="18" x14ac:dyDescent="0.25">
      <c r="A61" s="196" t="s">
        <v>174</v>
      </c>
      <c r="B61" s="173" t="s">
        <v>177</v>
      </c>
      <c r="C61" s="264">
        <v>48</v>
      </c>
      <c r="D61" s="2" t="str">
        <f t="shared" si="0"/>
        <v>1.5.7.1 Розробка програм навчальних дисциплін, робочих програм навчальних дисциплін: розробка навчальної програми</v>
      </c>
    </row>
    <row r="62" spans="1:4" ht="18" x14ac:dyDescent="0.25">
      <c r="A62" s="196" t="s">
        <v>175</v>
      </c>
      <c r="B62" s="173" t="s">
        <v>178</v>
      </c>
      <c r="C62" s="264">
        <v>49</v>
      </c>
      <c r="D62" s="2" t="str">
        <f t="shared" si="0"/>
        <v>1.5.7.2 Розробка програм навчальних дисциплін, робочих програм навчальних дисциплін: розробка робочої навчальної програми</v>
      </c>
    </row>
    <row r="63" spans="1:4" ht="18" x14ac:dyDescent="0.25">
      <c r="A63" s="196" t="s">
        <v>176</v>
      </c>
      <c r="B63" s="173" t="s">
        <v>179</v>
      </c>
      <c r="C63" s="264">
        <v>50</v>
      </c>
      <c r="D63" s="2" t="str">
        <f t="shared" si="0"/>
        <v>1.5.7.3 Розробка програм навчальних дисциплін, робочих програм навчальних дисциплін: оновлення</v>
      </c>
    </row>
    <row r="64" spans="1:4" ht="18" x14ac:dyDescent="0.25">
      <c r="A64" s="195" t="s">
        <v>251</v>
      </c>
      <c r="B64" s="179" t="s">
        <v>180</v>
      </c>
      <c r="C64" s="264">
        <v>51</v>
      </c>
      <c r="D64" s="2" t="str">
        <f t="shared" si="0"/>
        <v>2.1.1 Підготовка робочої програми навчальної дисципліни (з компетентнісною базою та технологічною картою оцінювання)</v>
      </c>
    </row>
    <row r="65" spans="1:4" ht="18" x14ac:dyDescent="0.25">
      <c r="A65" s="195" t="s">
        <v>252</v>
      </c>
      <c r="B65" s="178" t="s">
        <v>191</v>
      </c>
      <c r="C65" s="264">
        <v>52</v>
      </c>
      <c r="D65" s="2" t="str">
        <f t="shared" si="0"/>
        <v>2.1.2 Підготовка методичних рекомендацій до практичних занять з навчальної дисципліни / Практикуму</v>
      </c>
    </row>
    <row r="66" spans="1:4" ht="18" x14ac:dyDescent="0.25">
      <c r="A66" s="195" t="s">
        <v>253</v>
      </c>
      <c r="B66" s="178" t="s">
        <v>183</v>
      </c>
      <c r="C66" s="264">
        <v>53</v>
      </c>
      <c r="D66" s="2" t="str">
        <f t="shared" si="0"/>
        <v>2.1.3 Підготовка методичних рекомендацій до самостійної роботи з навчальної дисципліни</v>
      </c>
    </row>
    <row r="67" spans="1:4" ht="18" x14ac:dyDescent="0.25">
      <c r="A67" s="195" t="s">
        <v>254</v>
      </c>
      <c r="B67" s="178" t="s">
        <v>189</v>
      </c>
      <c r="C67" s="264">
        <v>54</v>
      </c>
      <c r="D67" s="2" t="str">
        <f t="shared" si="0"/>
        <v>2.1.4 Підготовка методичних рекомендацій до лабораторних занять з навчальної дисципліни / лабораторного практикуму</v>
      </c>
    </row>
    <row r="68" spans="1:4" ht="18" x14ac:dyDescent="0.25">
      <c r="A68" s="195" t="s">
        <v>353</v>
      </c>
      <c r="B68" s="178" t="s">
        <v>188</v>
      </c>
      <c r="C68" s="264">
        <v>55</v>
      </c>
      <c r="D68" s="2" t="str">
        <f t="shared" si="0"/>
        <v>2.1.5 Підготовка методичних рекомендацій до прове-дення лабораторних робіт у віртуальних середовищах</v>
      </c>
    </row>
    <row r="69" spans="1:4" ht="18" x14ac:dyDescent="0.25">
      <c r="A69" s="195" t="s">
        <v>354</v>
      </c>
      <c r="B69" s="178" t="s">
        <v>184</v>
      </c>
      <c r="C69" s="264">
        <v>56</v>
      </c>
      <c r="D69" s="2" t="str">
        <f t="shared" si="0"/>
        <v>2.1.6 Підготовка методичних рекомендацій до тренінгів</v>
      </c>
    </row>
    <row r="70" spans="1:4" ht="18" x14ac:dyDescent="0.25">
      <c r="A70" s="195" t="s">
        <v>355</v>
      </c>
      <c r="B70" s="178" t="s">
        <v>190</v>
      </c>
      <c r="C70" s="264">
        <v>57</v>
      </c>
      <c r="D70" s="2" t="str">
        <f t="shared" si="0"/>
        <v>2.1.7 Підготовка методичних рекомендацій до проходження практики (навчальної, виробничої, науково-дослідної, переддипломної, тощо)</v>
      </c>
    </row>
    <row r="71" spans="1:4" ht="18" x14ac:dyDescent="0.25">
      <c r="A71" s="195" t="s">
        <v>356</v>
      </c>
      <c r="B71" s="178" t="s">
        <v>197</v>
      </c>
      <c r="C71" s="264">
        <v>58</v>
      </c>
      <c r="D71" s="2" t="str">
        <f t="shared" si="0"/>
        <v>2.1.8 Підготовка методичних рекомендацій до виконання курсових робіт (проектів)</v>
      </c>
    </row>
    <row r="72" spans="1:4" ht="18" x14ac:dyDescent="0.25">
      <c r="A72" s="195" t="s">
        <v>357</v>
      </c>
      <c r="B72" s="178" t="s">
        <v>198</v>
      </c>
      <c r="C72" s="264">
        <v>59</v>
      </c>
      <c r="D72" s="2" t="str">
        <f t="shared" si="0"/>
        <v>2.1.9 Підготовка методичних рекомендацій до написання дипломних робіт (проектів)</v>
      </c>
    </row>
    <row r="73" spans="1:4" ht="18" x14ac:dyDescent="0.25">
      <c r="A73" s="195" t="s">
        <v>352</v>
      </c>
      <c r="B73" s="178" t="s">
        <v>185</v>
      </c>
      <c r="C73" s="264">
        <v>60</v>
      </c>
      <c r="D73" s="2" t="str">
        <f t="shared" si="0"/>
        <v>2.1.10 Підготовка збірника (задач, завдань, вправ, тестів)</v>
      </c>
    </row>
    <row r="74" spans="1:4" ht="18" x14ac:dyDescent="0.25">
      <c r="A74" s="195" t="s">
        <v>358</v>
      </c>
      <c r="B74" s="178" t="s">
        <v>186</v>
      </c>
      <c r="C74" s="264">
        <v>61</v>
      </c>
      <c r="D74" s="2" t="str">
        <f t="shared" si="0"/>
        <v>2.1.11 Підготовка курсу лекцій / конспекту лекцій</v>
      </c>
    </row>
    <row r="75" spans="1:4" ht="18" x14ac:dyDescent="0.25">
      <c r="A75" s="195" t="s">
        <v>359</v>
      </c>
      <c r="B75" s="178" t="s">
        <v>187</v>
      </c>
      <c r="C75" s="264">
        <v>62</v>
      </c>
      <c r="D75" s="2" t="str">
        <f t="shared" si="0"/>
        <v xml:space="preserve">2.1.12 Підготовка словника, хрестоматії, довідника, тощо </v>
      </c>
    </row>
    <row r="76" spans="1:4" ht="18" x14ac:dyDescent="0.25">
      <c r="A76" s="195" t="s">
        <v>360</v>
      </c>
      <c r="B76" s="178" t="s">
        <v>192</v>
      </c>
      <c r="C76" s="264">
        <v>63</v>
      </c>
      <c r="D76" s="2" t="str">
        <f t="shared" si="0"/>
        <v xml:space="preserve">2.1.13 Підготовка навчального посібника </v>
      </c>
    </row>
    <row r="77" spans="1:4" ht="18" x14ac:dyDescent="0.25">
      <c r="A77" s="195" t="s">
        <v>361</v>
      </c>
      <c r="B77" s="178" t="s">
        <v>193</v>
      </c>
      <c r="C77" s="264">
        <v>64</v>
      </c>
      <c r="D77" s="2" t="str">
        <f t="shared" si="0"/>
        <v>2.1.14 Підготовка підручника</v>
      </c>
    </row>
    <row r="78" spans="1:4" ht="18" x14ac:dyDescent="0.25">
      <c r="A78" s="195" t="s">
        <v>362</v>
      </c>
      <c r="B78" s="178" t="s">
        <v>194</v>
      </c>
      <c r="C78" s="264">
        <v>65</v>
      </c>
      <c r="D78" s="2" t="str">
        <f t="shared" si="0"/>
        <v xml:space="preserve">2.1.15 Навчально-методичного (або науково-методичного) комплексу </v>
      </c>
    </row>
    <row r="79" spans="1:4" ht="18" x14ac:dyDescent="0.25">
      <c r="A79" s="195" t="s">
        <v>363</v>
      </c>
      <c r="B79" s="178" t="s">
        <v>195</v>
      </c>
      <c r="C79" s="264">
        <v>66</v>
      </c>
      <c r="D79" s="2" t="str">
        <f t="shared" ref="D79:D103" si="1">CONCATENATE(A79," ", B79)</f>
        <v>2.1.16 Підготовка навчально-методичної літератури іноземною мовою</v>
      </c>
    </row>
    <row r="80" spans="1:4" ht="18" x14ac:dyDescent="0.25">
      <c r="A80" s="195" t="s">
        <v>364</v>
      </c>
      <c r="B80" s="178" t="s">
        <v>196</v>
      </c>
      <c r="C80" s="264">
        <v>67</v>
      </c>
      <c r="D80" s="2" t="str">
        <f t="shared" si="1"/>
        <v>2.1.17 Розроблення інформацій-них матеріалів про освіт-ньо-професійні програми, спеціалізації, кафедри (буклети, плакати, презентації тощо)</v>
      </c>
    </row>
    <row r="81" spans="1:4" ht="18" x14ac:dyDescent="0.25">
      <c r="A81" s="185" t="s">
        <v>349</v>
      </c>
      <c r="B81" s="175" t="s">
        <v>199</v>
      </c>
      <c r="C81" s="264">
        <v>68</v>
      </c>
      <c r="D81" s="2" t="str">
        <f t="shared" si="1"/>
        <v xml:space="preserve">2.2.1 Розробка початкового формату електронного видання.  </v>
      </c>
    </row>
    <row r="82" spans="1:4" ht="18" x14ac:dyDescent="0.25">
      <c r="A82" s="185" t="s">
        <v>350</v>
      </c>
      <c r="B82" s="175" t="s">
        <v>201</v>
      </c>
      <c r="C82" s="264">
        <v>69</v>
      </c>
      <c r="D82" s="2" t="str">
        <f t="shared" si="1"/>
        <v xml:space="preserve">2.2.2 Початковий формат електронного видання, у разі наявності опублікова-ного видання та 50% неоновленого змісту </v>
      </c>
    </row>
    <row r="83" spans="1:4" ht="18" x14ac:dyDescent="0.25">
      <c r="A83" s="185" t="s">
        <v>351</v>
      </c>
      <c r="B83" s="175" t="s">
        <v>203</v>
      </c>
      <c r="C83" s="264">
        <v>70</v>
      </c>
      <c r="D83" s="2" t="str">
        <f t="shared" si="1"/>
        <v xml:space="preserve">2.2.3 Створення мультимедійного електронного видання (на базі початково-го формату) з елементами початкової інтерактивності: </v>
      </c>
    </row>
    <row r="84" spans="1:4" ht="18" x14ac:dyDescent="0.25">
      <c r="A84" s="185" t="s">
        <v>204</v>
      </c>
      <c r="B84" s="169" t="s">
        <v>202</v>
      </c>
      <c r="C84" s="264">
        <v>71</v>
      </c>
      <c r="D84" s="2" t="str">
        <f t="shared" si="1"/>
        <v>2.2.4.1 Створення додаткових елементів мультимедійності: створення фрагментів відео-лекцій та відео-уроків  (5-10 хвилин):</v>
      </c>
    </row>
    <row r="85" spans="1:4" ht="18" x14ac:dyDescent="0.25">
      <c r="A85" s="185" t="s">
        <v>205</v>
      </c>
      <c r="B85" s="177" t="s">
        <v>200</v>
      </c>
      <c r="C85" s="264">
        <v>72</v>
      </c>
      <c r="D85" s="2" t="str">
        <f t="shared" si="1"/>
        <v>2.2.4.2 Створення додаткових елементів мультимедійності: створення анімаційних роликів</v>
      </c>
    </row>
    <row r="86" spans="1:4" ht="18" x14ac:dyDescent="0.25">
      <c r="A86" s="185" t="s">
        <v>346</v>
      </c>
      <c r="B86" s="175" t="s">
        <v>206</v>
      </c>
      <c r="C86" s="264">
        <v>73</v>
      </c>
      <c r="D86" s="2" t="str">
        <f t="shared" si="1"/>
        <v xml:space="preserve">2.2.5 Створення адаптивності електронного видання, </v>
      </c>
    </row>
    <row r="87" spans="1:4" ht="18" x14ac:dyDescent="0.25">
      <c r="A87" s="185" t="s">
        <v>347</v>
      </c>
      <c r="B87" s="175" t="s">
        <v>432</v>
      </c>
      <c r="C87" s="264">
        <v>74</v>
      </c>
      <c r="D87" s="2" t="str">
        <f t="shared" si="1"/>
        <v xml:space="preserve">2.2.6 Створення навчальних елементів середньої інтерактивності електронного видання які створюють умовні переходи за результатами розумової діяльності студента </v>
      </c>
    </row>
    <row r="88" spans="1:4" ht="18" x14ac:dyDescent="0.25">
      <c r="A88" s="185" t="s">
        <v>348</v>
      </c>
      <c r="B88" s="177" t="s">
        <v>221</v>
      </c>
      <c r="C88" s="264">
        <v>75</v>
      </c>
      <c r="D88" s="2" t="str">
        <f t="shared" si="1"/>
        <v>2.2.7 Створення навчальних елементів високої інтерактивності електронного видання</v>
      </c>
    </row>
    <row r="89" spans="1:4" ht="18" x14ac:dyDescent="0.25">
      <c r="A89" s="184" t="s">
        <v>337</v>
      </c>
      <c r="B89" s="169" t="s">
        <v>207</v>
      </c>
      <c r="C89" s="264">
        <v>76</v>
      </c>
      <c r="D89" s="2" t="str">
        <f t="shared" si="1"/>
        <v>2.3.1 Розробка віртуального навчального середовища</v>
      </c>
    </row>
    <row r="90" spans="1:4" ht="18" x14ac:dyDescent="0.25">
      <c r="A90" s="184" t="s">
        <v>338</v>
      </c>
      <c r="B90" s="169" t="s">
        <v>208</v>
      </c>
      <c r="C90" s="264">
        <v>77</v>
      </c>
      <c r="D90" s="2" t="str">
        <f t="shared" si="1"/>
        <v>2.3.2 Розробка програмних засобів для математичного й імітаційного моделювання</v>
      </c>
    </row>
    <row r="91" spans="1:4" ht="18" x14ac:dyDescent="0.25">
      <c r="A91" s="184" t="s">
        <v>339</v>
      </c>
      <c r="B91" s="169" t="s">
        <v>209</v>
      </c>
      <c r="C91" s="264">
        <v>78</v>
      </c>
      <c r="D91" s="2" t="str">
        <f t="shared" si="1"/>
        <v>2.3.3 Розробка програмних засобів для контролю й вимірювання рівня навча-льних досягнень студентів</v>
      </c>
    </row>
    <row r="92" spans="1:4" ht="18" x14ac:dyDescent="0.25">
      <c r="A92" s="184" t="s">
        <v>340</v>
      </c>
      <c r="B92" s="169" t="s">
        <v>210</v>
      </c>
      <c r="C92" s="264">
        <v>79</v>
      </c>
      <c r="D92" s="2" t="str">
        <f t="shared" si="1"/>
        <v>2.3.4 Розробка електронних тренажерів</v>
      </c>
    </row>
    <row r="93" spans="1:4" ht="18" x14ac:dyDescent="0.25">
      <c r="A93" s="185" t="s">
        <v>341</v>
      </c>
      <c r="B93" s="169" t="s">
        <v>211</v>
      </c>
      <c r="C93" s="264">
        <v>80</v>
      </c>
      <c r="D93" s="2" t="str">
        <f t="shared" si="1"/>
        <v>3.1.1 Створення / адаптація віртуальних середовищ (господарські організації, фінансові установи, їх функціональні підрозділи)</v>
      </c>
    </row>
    <row r="94" spans="1:4" ht="18" x14ac:dyDescent="0.25">
      <c r="A94" s="185" t="s">
        <v>342</v>
      </c>
      <c r="B94" s="169" t="s">
        <v>212</v>
      </c>
      <c r="C94" s="264">
        <v>81</v>
      </c>
      <c r="D94" s="2" t="str">
        <f t="shared" si="1"/>
        <v>3.1.2 Організація проведення комп’ютерних бізнес-симуляцій</v>
      </c>
    </row>
    <row r="95" spans="1:4" ht="18" x14ac:dyDescent="0.25">
      <c r="A95" s="185" t="s">
        <v>255</v>
      </c>
      <c r="B95" s="169" t="s">
        <v>213</v>
      </c>
      <c r="C95" s="264">
        <v>82</v>
      </c>
      <c r="D95" s="2" t="str">
        <f t="shared" si="1"/>
        <v>3.2.1 Організація та проведення методичних заходів кафедри</v>
      </c>
    </row>
    <row r="96" spans="1:4" ht="18" x14ac:dyDescent="0.25">
      <c r="A96" s="185" t="s">
        <v>256</v>
      </c>
      <c r="B96" s="169" t="s">
        <v>215</v>
      </c>
      <c r="C96" s="264">
        <v>83</v>
      </c>
      <c r="D96" s="2" t="str">
        <f t="shared" si="1"/>
        <v xml:space="preserve">3.2.2 Організація та проведення методичних міжкафедральних семінарів </v>
      </c>
    </row>
    <row r="97" spans="1:4" ht="18" x14ac:dyDescent="0.25">
      <c r="A97" s="185" t="s">
        <v>257</v>
      </c>
      <c r="B97" s="169" t="s">
        <v>214</v>
      </c>
      <c r="C97" s="264">
        <v>84</v>
      </c>
      <c r="D97" s="2" t="str">
        <f t="shared" si="1"/>
        <v>3.2.3 Організація та проведення методичних загально-університетських семінарів (тренінгів, круглих столів)</v>
      </c>
    </row>
    <row r="98" spans="1:4" ht="18" x14ac:dyDescent="0.25">
      <c r="A98" s="185" t="s">
        <v>258</v>
      </c>
      <c r="B98" s="171" t="s">
        <v>216</v>
      </c>
      <c r="C98" s="264">
        <v>85</v>
      </c>
      <c r="D98" s="2" t="str">
        <f t="shared" si="1"/>
        <v>3.2.4 Перевірка виконання студентами ректорської контрольної роботи  (зрізи залишкових знань)</v>
      </c>
    </row>
    <row r="99" spans="1:4" ht="18" x14ac:dyDescent="0.25">
      <c r="A99" s="185" t="s">
        <v>343</v>
      </c>
      <c r="B99" s="169" t="s">
        <v>92</v>
      </c>
      <c r="C99" s="264">
        <v>86</v>
      </c>
      <c r="D99" s="2" t="str">
        <f t="shared" si="1"/>
        <v>3.3 Взаємовідвідування занять</v>
      </c>
    </row>
    <row r="100" spans="1:4" ht="18" x14ac:dyDescent="0.25">
      <c r="A100" s="185" t="s">
        <v>242</v>
      </c>
      <c r="B100" s="169" t="s">
        <v>217</v>
      </c>
      <c r="C100" s="264">
        <v>87</v>
      </c>
      <c r="D100" s="2" t="str">
        <f t="shared" si="1"/>
        <v>3.4 Ведення електронного журналу (в корпоративній мережі)</v>
      </c>
    </row>
    <row r="101" spans="1:4" ht="18" x14ac:dyDescent="0.25">
      <c r="A101" s="185" t="s">
        <v>262</v>
      </c>
      <c r="B101" s="169" t="s">
        <v>220</v>
      </c>
      <c r="C101" s="264">
        <v>88</v>
      </c>
      <c r="D101" s="2" t="str">
        <f t="shared" si="1"/>
        <v>3.5 Переклад методичної літератури та інших матеріалів за дорученням адміністрації університету</v>
      </c>
    </row>
    <row r="102" spans="1:4" ht="18" x14ac:dyDescent="0.25">
      <c r="A102" s="185" t="s">
        <v>344</v>
      </c>
      <c r="B102" s="169" t="s">
        <v>218</v>
      </c>
      <c r="C102" s="264">
        <v>89</v>
      </c>
      <c r="D102" s="2" t="str">
        <f t="shared" si="1"/>
        <v>3.6 Відповідальний за навчально-методичну роботу на кафедрі</v>
      </c>
    </row>
    <row r="103" spans="1:4" ht="18" x14ac:dyDescent="0.25">
      <c r="A103" s="185" t="s">
        <v>345</v>
      </c>
      <c r="B103" s="169" t="s">
        <v>219</v>
      </c>
      <c r="C103" s="264">
        <v>90</v>
      </c>
      <c r="D103" s="2" t="str">
        <f t="shared" si="1"/>
        <v xml:space="preserve">3.7 Методична робота за дорученням адміністрації 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FFC000"/>
  </sheetPr>
  <dimension ref="A1:D65"/>
  <sheetViews>
    <sheetView topLeftCell="A49" zoomScale="60" zoomScaleNormal="60" workbookViewId="0">
      <selection activeCell="P18" sqref="P18"/>
    </sheetView>
  </sheetViews>
  <sheetFormatPr defaultRowHeight="12.75" x14ac:dyDescent="0.2"/>
  <cols>
    <col min="1" max="1" width="6.28515625" style="180" customWidth="1"/>
    <col min="2" max="2" width="175.140625" style="181" customWidth="1"/>
    <col min="3" max="3" width="20.140625" customWidth="1"/>
    <col min="4" max="4" width="0" hidden="1" customWidth="1"/>
  </cols>
  <sheetData>
    <row r="1" spans="1:4" s="59" customFormat="1" ht="64.5" customHeight="1" x14ac:dyDescent="0.2">
      <c r="A1" s="180"/>
      <c r="B1" s="181"/>
    </row>
    <row r="2" spans="1:4" s="59" customFormat="1" ht="30.75" customHeight="1" x14ac:dyDescent="0.2">
      <c r="A2" s="268" t="s">
        <v>436</v>
      </c>
      <c r="B2" s="269" t="s">
        <v>438</v>
      </c>
      <c r="C2" s="269" t="s">
        <v>437</v>
      </c>
    </row>
    <row r="3" spans="1:4" s="59" customFormat="1" x14ac:dyDescent="0.2">
      <c r="A3" s="200"/>
      <c r="B3" s="198"/>
      <c r="C3" s="199"/>
    </row>
    <row r="4" spans="1:4" s="59" customFormat="1" x14ac:dyDescent="0.2">
      <c r="A4" s="200"/>
      <c r="B4" s="198"/>
      <c r="C4" s="199"/>
    </row>
    <row r="5" spans="1:4" s="59" customFormat="1" x14ac:dyDescent="0.2">
      <c r="A5" s="200"/>
      <c r="B5" s="198"/>
      <c r="C5" s="199"/>
    </row>
    <row r="6" spans="1:4" s="59" customFormat="1" x14ac:dyDescent="0.2">
      <c r="A6" s="200"/>
      <c r="B6" s="198"/>
      <c r="C6" s="199"/>
    </row>
    <row r="7" spans="1:4" s="59" customFormat="1" x14ac:dyDescent="0.2">
      <c r="A7" s="200"/>
      <c r="B7" s="198"/>
      <c r="C7" s="199"/>
    </row>
    <row r="8" spans="1:4" s="59" customFormat="1" x14ac:dyDescent="0.2">
      <c r="A8" s="200"/>
      <c r="B8" s="198"/>
      <c r="C8" s="199"/>
    </row>
    <row r="9" spans="1:4" s="59" customFormat="1" x14ac:dyDescent="0.2">
      <c r="A9" s="200"/>
      <c r="B9" s="198"/>
      <c r="C9" s="199"/>
    </row>
    <row r="10" spans="1:4" s="59" customFormat="1" x14ac:dyDescent="0.2">
      <c r="A10" s="200"/>
      <c r="B10" s="198"/>
      <c r="C10" s="199"/>
    </row>
    <row r="11" spans="1:4" s="59" customFormat="1" x14ac:dyDescent="0.2">
      <c r="A11" s="200"/>
      <c r="B11" s="198"/>
      <c r="C11" s="199"/>
    </row>
    <row r="12" spans="1:4" s="59" customFormat="1" x14ac:dyDescent="0.2">
      <c r="A12" s="180"/>
      <c r="B12" s="181"/>
    </row>
    <row r="13" spans="1:4" ht="30" customHeight="1" x14ac:dyDescent="0.2">
      <c r="A13" s="268" t="s">
        <v>436</v>
      </c>
      <c r="B13" s="270" t="s">
        <v>438</v>
      </c>
      <c r="C13" s="269" t="s">
        <v>437</v>
      </c>
    </row>
    <row r="14" spans="1:4" ht="18" x14ac:dyDescent="0.25">
      <c r="A14" s="182" t="s">
        <v>247</v>
      </c>
      <c r="B14" s="183" t="s">
        <v>222</v>
      </c>
      <c r="C14" s="265">
        <v>90</v>
      </c>
      <c r="D14" s="2" t="str">
        <f>CONCATENATE(A14," ",B14)</f>
        <v>1.1.1 Виконання планових наукових досліджень: керівнику</v>
      </c>
    </row>
    <row r="15" spans="1:4" ht="18" x14ac:dyDescent="0.25">
      <c r="A15" s="182" t="s">
        <v>248</v>
      </c>
      <c r="B15" s="183" t="s">
        <v>223</v>
      </c>
      <c r="C15" s="265">
        <v>91</v>
      </c>
      <c r="D15" s="2" t="str">
        <f t="shared" ref="D15:D65" si="0">CONCATENATE(A15," ",B15)</f>
        <v>1.1.2 Виконання планових наукових досліджень: виконавцю</v>
      </c>
    </row>
    <row r="16" spans="1:4" ht="18" x14ac:dyDescent="0.25">
      <c r="A16" s="182" t="s">
        <v>249</v>
      </c>
      <c r="B16" s="173" t="s">
        <v>224</v>
      </c>
      <c r="C16" s="265">
        <v>92</v>
      </c>
      <c r="D16" s="2" t="str">
        <f t="shared" si="0"/>
        <v>1.2.1 Розробка інноваційно-дослідницьких проектів: керівнику</v>
      </c>
    </row>
    <row r="17" spans="1:4" ht="18" x14ac:dyDescent="0.25">
      <c r="A17" s="182" t="s">
        <v>250</v>
      </c>
      <c r="B17" s="173" t="s">
        <v>225</v>
      </c>
      <c r="C17" s="265">
        <v>93</v>
      </c>
      <c r="D17" s="2" t="str">
        <f t="shared" si="0"/>
        <v>1.2.2 Розробка інноваційно-дослідницьких проектів: виконавцю</v>
      </c>
    </row>
    <row r="18" spans="1:4" ht="18" x14ac:dyDescent="0.25">
      <c r="A18" s="182" t="s">
        <v>251</v>
      </c>
      <c r="B18" s="175" t="s">
        <v>226</v>
      </c>
      <c r="C18" s="265">
        <v>94</v>
      </c>
      <c r="D18" s="2" t="str">
        <f t="shared" si="0"/>
        <v>2.1.1 Винахідницька робота викладача: міжнародні патенти</v>
      </c>
    </row>
    <row r="19" spans="1:4" ht="18" x14ac:dyDescent="0.25">
      <c r="A19" s="182" t="s">
        <v>252</v>
      </c>
      <c r="B19" s="175" t="s">
        <v>227</v>
      </c>
      <c r="C19" s="265">
        <v>95</v>
      </c>
      <c r="D19" s="2" t="str">
        <f t="shared" si="0"/>
        <v>2.1.2 Винахідницька робота викладача: патенти</v>
      </c>
    </row>
    <row r="20" spans="1:4" ht="18" x14ac:dyDescent="0.25">
      <c r="A20" s="182" t="s">
        <v>253</v>
      </c>
      <c r="B20" s="175" t="s">
        <v>228</v>
      </c>
      <c r="C20" s="265">
        <v>96</v>
      </c>
      <c r="D20" s="2" t="str">
        <f t="shared" si="0"/>
        <v>2.1.3 Винахідницька робота викладача:  патенти на корисну модель</v>
      </c>
    </row>
    <row r="21" spans="1:4" ht="18" x14ac:dyDescent="0.25">
      <c r="A21" s="182" t="s">
        <v>254</v>
      </c>
      <c r="B21" s="175" t="s">
        <v>229</v>
      </c>
      <c r="C21" s="265">
        <v>97</v>
      </c>
      <c r="D21" s="2" t="str">
        <f t="shared" si="0"/>
        <v>2.1.4 Винахідницька робота викладача: свідоцтва на твір</v>
      </c>
    </row>
    <row r="22" spans="1:4" ht="18" x14ac:dyDescent="0.25">
      <c r="A22" s="182" t="s">
        <v>230</v>
      </c>
      <c r="B22" s="175" t="s">
        <v>243</v>
      </c>
      <c r="C22" s="265">
        <v>98</v>
      </c>
      <c r="D22" s="2" t="str">
        <f t="shared" si="0"/>
        <v>3.1.1.1 Публікація монографії у вітчизняних   видавництвах: колективна монографія</v>
      </c>
    </row>
    <row r="23" spans="1:4" ht="18" x14ac:dyDescent="0.25">
      <c r="A23" s="182" t="s">
        <v>231</v>
      </c>
      <c r="B23" s="175" t="s">
        <v>244</v>
      </c>
      <c r="C23" s="265">
        <v>99</v>
      </c>
      <c r="D23" s="2" t="str">
        <f t="shared" si="0"/>
        <v>3.1.1.2 Публікація монографії у вітчизняних   видавництвах: одноосібна монографія</v>
      </c>
    </row>
    <row r="24" spans="1:4" ht="18" x14ac:dyDescent="0.25">
      <c r="A24" s="182" t="s">
        <v>232</v>
      </c>
      <c r="B24" s="175" t="s">
        <v>245</v>
      </c>
      <c r="C24" s="265">
        <v>100</v>
      </c>
      <c r="D24" s="2" t="str">
        <f t="shared" si="0"/>
        <v>3.1.2.1 Публікація монографії у зарубіжних  видавництвах: колективна монографія</v>
      </c>
    </row>
    <row r="25" spans="1:4" ht="18" x14ac:dyDescent="0.25">
      <c r="A25" s="182" t="s">
        <v>233</v>
      </c>
      <c r="B25" s="175" t="s">
        <v>246</v>
      </c>
      <c r="C25" s="265">
        <v>101</v>
      </c>
      <c r="D25" s="2" t="str">
        <f t="shared" si="0"/>
        <v>3.1.2.2 Публікація монографії у зарубіжних   видавництвах: одноосібна монографія</v>
      </c>
    </row>
    <row r="26" spans="1:4" ht="18" x14ac:dyDescent="0.25">
      <c r="A26" s="182" t="s">
        <v>255</v>
      </c>
      <c r="B26" s="175" t="s">
        <v>234</v>
      </c>
      <c r="C26" s="265">
        <v>102</v>
      </c>
      <c r="D26" s="2" t="str">
        <f t="shared" si="0"/>
        <v>3.2.1 Публікація наукових статей: у журналах, що індексуються у міжнародних  наукометричних базах</v>
      </c>
    </row>
    <row r="27" spans="1:4" ht="18" x14ac:dyDescent="0.25">
      <c r="A27" s="182" t="s">
        <v>256</v>
      </c>
      <c r="B27" s="175" t="s">
        <v>238</v>
      </c>
      <c r="C27" s="265">
        <v>103</v>
      </c>
      <c r="D27" s="2" t="str">
        <f t="shared" si="0"/>
        <v>3.2.2 Публікація наукових статей: у наукових виданнях, що індексуються у інших міжнародних наукометричних базах:</v>
      </c>
    </row>
    <row r="28" spans="1:4" ht="18" x14ac:dyDescent="0.25">
      <c r="A28" s="182" t="s">
        <v>257</v>
      </c>
      <c r="B28" s="175" t="s">
        <v>235</v>
      </c>
      <c r="C28" s="265">
        <v>104</v>
      </c>
      <c r="D28" s="2" t="str">
        <f t="shared" si="0"/>
        <v>3.2.3 Публікація наукових статей: у зарубіжних журналах</v>
      </c>
    </row>
    <row r="29" spans="1:4" ht="18" x14ac:dyDescent="0.25">
      <c r="A29" s="182" t="s">
        <v>258</v>
      </c>
      <c r="B29" s="175" t="s">
        <v>236</v>
      </c>
      <c r="C29" s="265">
        <v>105</v>
      </c>
      <c r="D29" s="2" t="str">
        <f t="shared" si="0"/>
        <v>3.2.4 Публікація наукових статей: у фахових вітчизняних виданнях</v>
      </c>
    </row>
    <row r="30" spans="1:4" ht="18" x14ac:dyDescent="0.25">
      <c r="A30" s="182" t="s">
        <v>259</v>
      </c>
      <c r="B30" s="175" t="s">
        <v>237</v>
      </c>
      <c r="C30" s="265">
        <v>106</v>
      </c>
      <c r="D30" s="2" t="str">
        <f t="shared" si="0"/>
        <v>3.2.5 Публікація наукових статей: у вітчизняних виданнях (без науко-метричних даних)</v>
      </c>
    </row>
    <row r="31" spans="1:4" ht="18" x14ac:dyDescent="0.25">
      <c r="A31" s="182" t="s">
        <v>260</v>
      </c>
      <c r="B31" s="169" t="s">
        <v>239</v>
      </c>
      <c r="C31" s="265">
        <v>107</v>
      </c>
      <c r="D31" s="2" t="str">
        <f t="shared" si="0"/>
        <v>3.3.1 Публікація тез доповідей: тези доповіді в зарубіжних виданнях</v>
      </c>
    </row>
    <row r="32" spans="1:4" ht="18" x14ac:dyDescent="0.25">
      <c r="A32" s="182" t="s">
        <v>261</v>
      </c>
      <c r="B32" s="169" t="s">
        <v>240</v>
      </c>
      <c r="C32" s="265">
        <v>108</v>
      </c>
      <c r="D32" s="2" t="str">
        <f t="shared" si="0"/>
        <v>3.3.2 Публікація тез доповідей: тези доповіді на конференціях, симпозіумах, семінарах (міжнародних, вітчизняних, інших)</v>
      </c>
    </row>
    <row r="33" spans="1:4" ht="18" x14ac:dyDescent="0.25">
      <c r="A33" s="182" t="s">
        <v>242</v>
      </c>
      <c r="B33" s="175" t="s">
        <v>241</v>
      </c>
      <c r="C33" s="265">
        <v>109</v>
      </c>
      <c r="D33" s="2" t="str">
        <f t="shared" si="0"/>
        <v>3.4 Публікація наукових статей та тез доповіді іноземною мовою</v>
      </c>
    </row>
    <row r="34" spans="1:4" ht="18" x14ac:dyDescent="0.25">
      <c r="A34" s="182" t="s">
        <v>263</v>
      </c>
      <c r="B34" s="177" t="s">
        <v>269</v>
      </c>
      <c r="C34" s="265">
        <v>110</v>
      </c>
      <c r="D34" s="2" t="str">
        <f t="shared" si="0"/>
        <v>4.1.1 Захист дисертацій: на здобуття ступеня доктора наук</v>
      </c>
    </row>
    <row r="35" spans="1:4" ht="18" x14ac:dyDescent="0.25">
      <c r="A35" s="182" t="s">
        <v>264</v>
      </c>
      <c r="B35" s="177" t="s">
        <v>270</v>
      </c>
      <c r="C35" s="265">
        <v>111</v>
      </c>
      <c r="D35" s="2" t="str">
        <f t="shared" si="0"/>
        <v>4.1.2 Захист дисертацій: на здобуття ступеня доктора філософії</v>
      </c>
    </row>
    <row r="36" spans="1:4" ht="18" x14ac:dyDescent="0.25">
      <c r="A36" s="182" t="s">
        <v>265</v>
      </c>
      <c r="B36" s="177" t="s">
        <v>271</v>
      </c>
      <c r="C36" s="265">
        <v>112</v>
      </c>
      <c r="D36" s="2" t="str">
        <f t="shared" si="0"/>
        <v xml:space="preserve">4.2 Складання кандидатських екзаменів </v>
      </c>
    </row>
    <row r="37" spans="1:4" ht="18" x14ac:dyDescent="0.25">
      <c r="A37" s="182" t="s">
        <v>266</v>
      </c>
      <c r="B37" s="175" t="s">
        <v>272</v>
      </c>
      <c r="C37" s="265">
        <v>113</v>
      </c>
      <c r="D37" s="2" t="str">
        <f t="shared" si="0"/>
        <v>5.1.1 Керівництво науковою роботою студентів: з підготовки наукових статей</v>
      </c>
    </row>
    <row r="38" spans="1:4" ht="18" x14ac:dyDescent="0.25">
      <c r="A38" s="182" t="s">
        <v>267</v>
      </c>
      <c r="B38" s="175" t="s">
        <v>273</v>
      </c>
      <c r="C38" s="265">
        <v>114</v>
      </c>
      <c r="D38" s="2" t="str">
        <f t="shared" si="0"/>
        <v>5.1.2 Керівництво науковою роботою студентів: з підготовки тез доповідей на конференцію</v>
      </c>
    </row>
    <row r="39" spans="1:4" ht="18" x14ac:dyDescent="0.25">
      <c r="A39" s="182" t="s">
        <v>268</v>
      </c>
      <c r="B39" s="175" t="s">
        <v>274</v>
      </c>
      <c r="C39" s="265">
        <v>115</v>
      </c>
      <c r="D39" s="2" t="str">
        <f t="shared" si="0"/>
        <v>5.1.3 Керівництво науковою роботою студентів: з підготовки заявок на видачу охоронних документів</v>
      </c>
    </row>
    <row r="40" spans="1:4" ht="18" x14ac:dyDescent="0.25">
      <c r="A40" s="182" t="s">
        <v>275</v>
      </c>
      <c r="B40" s="175" t="s">
        <v>280</v>
      </c>
      <c r="C40" s="265">
        <v>116</v>
      </c>
      <c r="D40" s="2" t="str">
        <f t="shared" si="0"/>
        <v>5.2.1.1 Підготовка студентів-переможців та призерів до участі у конкурсах: міжнародний рівень</v>
      </c>
    </row>
    <row r="41" spans="1:4" ht="18" x14ac:dyDescent="0.25">
      <c r="A41" s="182" t="s">
        <v>276</v>
      </c>
      <c r="B41" s="175" t="s">
        <v>281</v>
      </c>
      <c r="C41" s="265">
        <v>117</v>
      </c>
      <c r="D41" s="2" t="str">
        <f t="shared" si="0"/>
        <v>5.2.1.2 Підготовка студентів-переможців та призерів до участі у конкурсах: всеукраїнський рівень, 1 етап</v>
      </c>
    </row>
    <row r="42" spans="1:4" ht="18" x14ac:dyDescent="0.25">
      <c r="A42" s="182" t="s">
        <v>277</v>
      </c>
      <c r="B42" s="175" t="s">
        <v>282</v>
      </c>
      <c r="C42" s="265">
        <v>118</v>
      </c>
      <c r="D42" s="2" t="str">
        <f t="shared" si="0"/>
        <v>5.2.1.3 Підготовка студентів-переможців та призерів до участі у конкурсах: всеукраїнський рівень, 2 етап</v>
      </c>
    </row>
    <row r="43" spans="1:4" ht="18" x14ac:dyDescent="0.25">
      <c r="A43" s="182" t="s">
        <v>278</v>
      </c>
      <c r="B43" s="175" t="s">
        <v>283</v>
      </c>
      <c r="C43" s="265">
        <v>119</v>
      </c>
      <c r="D43" s="2" t="str">
        <f t="shared" si="0"/>
        <v>5.2.1.4 Підготовка студентів-переможців та призерів до участі у конкурсах: регіональний рівень</v>
      </c>
    </row>
    <row r="44" spans="1:4" ht="18" x14ac:dyDescent="0.25">
      <c r="A44" s="182" t="s">
        <v>279</v>
      </c>
      <c r="B44" s="175" t="s">
        <v>284</v>
      </c>
      <c r="C44" s="265">
        <v>120</v>
      </c>
      <c r="D44" s="2" t="str">
        <f t="shared" si="0"/>
        <v>5.2.1.5 Підготовка студентів-переможців та призерів до участі у конкурсах: університетський рівень</v>
      </c>
    </row>
    <row r="45" spans="1:4" ht="18" x14ac:dyDescent="0.25">
      <c r="A45" s="182" t="s">
        <v>290</v>
      </c>
      <c r="B45" s="175" t="s">
        <v>285</v>
      </c>
      <c r="C45" s="265">
        <v>121</v>
      </c>
      <c r="D45" s="2" t="str">
        <f t="shared" si="0"/>
        <v>5.2.2.1 Підготовка студентів-переможців та призерів до участі в олімпіаді: міжнародний рівень</v>
      </c>
    </row>
    <row r="46" spans="1:4" ht="18" x14ac:dyDescent="0.25">
      <c r="A46" s="182" t="s">
        <v>291</v>
      </c>
      <c r="B46" s="175" t="s">
        <v>286</v>
      </c>
      <c r="C46" s="265">
        <v>122</v>
      </c>
      <c r="D46" s="2" t="str">
        <f t="shared" si="0"/>
        <v>5.2.2.2 Підготовка студентів-переможців та призерів до участі в олімпіаді: всеукраїнський рівень, 1 етап</v>
      </c>
    </row>
    <row r="47" spans="1:4" ht="18" x14ac:dyDescent="0.25">
      <c r="A47" s="182" t="s">
        <v>292</v>
      </c>
      <c r="B47" s="175" t="s">
        <v>287</v>
      </c>
      <c r="C47" s="265">
        <v>123</v>
      </c>
      <c r="D47" s="2" t="str">
        <f t="shared" si="0"/>
        <v>5.2.2.3 Підготовка студентів-переможців та призерів до участі в олімпіаді: всеукраїнський рівень, 2 етап</v>
      </c>
    </row>
    <row r="48" spans="1:4" ht="18" x14ac:dyDescent="0.25">
      <c r="A48" s="182" t="s">
        <v>293</v>
      </c>
      <c r="B48" s="175" t="s">
        <v>288</v>
      </c>
      <c r="C48" s="265">
        <v>124</v>
      </c>
      <c r="D48" s="2" t="str">
        <f t="shared" si="0"/>
        <v>5.2.2.4 Підготовка студентів-переможців та призерів до участі в олімпіаді: регіональний рівень</v>
      </c>
    </row>
    <row r="49" spans="1:4" ht="18" x14ac:dyDescent="0.25">
      <c r="A49" s="182" t="s">
        <v>294</v>
      </c>
      <c r="B49" s="175" t="s">
        <v>289</v>
      </c>
      <c r="C49" s="265">
        <v>125</v>
      </c>
      <c r="D49" s="2" t="str">
        <f t="shared" si="0"/>
        <v>5.2.2.5 Підготовка студентів-переможців та призерів до участі в олімпіаді: університетський рівень</v>
      </c>
    </row>
    <row r="50" spans="1:4" ht="18" x14ac:dyDescent="0.25">
      <c r="A50" s="182" t="s">
        <v>295</v>
      </c>
      <c r="B50" s="175" t="s">
        <v>296</v>
      </c>
      <c r="C50" s="265">
        <v>126</v>
      </c>
      <c r="D50" s="2" t="str">
        <f t="shared" si="0"/>
        <v>5.3 Керівництво студентським науковим гуртком, групою з науково-дослідної проблеми</v>
      </c>
    </row>
    <row r="51" spans="1:4" ht="18" x14ac:dyDescent="0.25">
      <c r="A51" s="182" t="s">
        <v>297</v>
      </c>
      <c r="B51" s="175" t="s">
        <v>303</v>
      </c>
      <c r="C51" s="265">
        <v>127</v>
      </c>
      <c r="D51" s="2" t="str">
        <f t="shared" si="0"/>
        <v>6.1.1.1 Організація та проведення наукових конференцій, симпозіумів, семінарів - Міжнародні заходи: голова оргкомітету</v>
      </c>
    </row>
    <row r="52" spans="1:4" ht="18" x14ac:dyDescent="0.25">
      <c r="A52" s="182" t="s">
        <v>298</v>
      </c>
      <c r="B52" s="175" t="s">
        <v>304</v>
      </c>
      <c r="C52" s="265">
        <v>128</v>
      </c>
      <c r="D52" s="2" t="str">
        <f t="shared" si="0"/>
        <v>6.1.1.2 Організація та проведення наукових конференцій, симпозіумів, семінарів - Міжнародні заходи : секретар, члени оргкомітету,  керівники секції</v>
      </c>
    </row>
    <row r="53" spans="1:4" ht="18" x14ac:dyDescent="0.25">
      <c r="A53" s="182" t="s">
        <v>299</v>
      </c>
      <c r="B53" s="175" t="s">
        <v>305</v>
      </c>
      <c r="C53" s="265">
        <v>129</v>
      </c>
      <c r="D53" s="2" t="str">
        <f t="shared" si="0"/>
        <v>6.1.2.1 Організація та проведення наукових конференцій, симпозіумів, семінарів - Всеукраїнські заходи: голова оргкомітету</v>
      </c>
    </row>
    <row r="54" spans="1:4" ht="18" x14ac:dyDescent="0.25">
      <c r="A54" s="182" t="s">
        <v>300</v>
      </c>
      <c r="B54" s="175" t="s">
        <v>308</v>
      </c>
      <c r="C54" s="265">
        <v>130</v>
      </c>
      <c r="D54" s="2" t="str">
        <f t="shared" si="0"/>
        <v>6.1.2.2 Організація та проведення наукових конференцій, симпозіумів, семінарів - Всеукраїнські заходи : секретар, члени оргкомітету,  керівники секції</v>
      </c>
    </row>
    <row r="55" spans="1:4" ht="18" x14ac:dyDescent="0.25">
      <c r="A55" s="182" t="s">
        <v>301</v>
      </c>
      <c r="B55" s="175" t="s">
        <v>306</v>
      </c>
      <c r="C55" s="265">
        <v>131</v>
      </c>
      <c r="D55" s="2" t="str">
        <f t="shared" si="0"/>
        <v>6.1.3.1 Організація та проведення наукових конференцій, симпозіумів, семінарів - Міжуніверситетські, міжфакультетські, міжкафедральні заходи : голова оргкомітету</v>
      </c>
    </row>
    <row r="56" spans="1:4" ht="18" x14ac:dyDescent="0.25">
      <c r="A56" s="182" t="s">
        <v>302</v>
      </c>
      <c r="B56" s="175" t="s">
        <v>307</v>
      </c>
      <c r="C56" s="265">
        <v>132</v>
      </c>
      <c r="D56" s="2" t="str">
        <f t="shared" si="0"/>
        <v>6.1.3.2 Організація та проведення наукових конференцій, симпозіумів, семінарів - Міжуніверситетські, міжфакультетські, міжкафедральні заходи  : секретар, члени оргкомітету,  керівники секції</v>
      </c>
    </row>
    <row r="57" spans="1:4" ht="18" x14ac:dyDescent="0.25">
      <c r="A57" s="182" t="s">
        <v>309</v>
      </c>
      <c r="B57" s="175" t="s">
        <v>317</v>
      </c>
      <c r="C57" s="265">
        <v>133</v>
      </c>
      <c r="D57" s="2" t="str">
        <f t="shared" si="0"/>
        <v>6.2.1 Організація та проведення телеконференцій, вебінарів : міжнародні заходи</v>
      </c>
    </row>
    <row r="58" spans="1:4" ht="18" x14ac:dyDescent="0.25">
      <c r="A58" s="182" t="s">
        <v>310</v>
      </c>
      <c r="B58" s="175" t="s">
        <v>318</v>
      </c>
      <c r="C58" s="265">
        <v>134</v>
      </c>
      <c r="D58" s="2" t="str">
        <f t="shared" si="0"/>
        <v>6.2.2 Організація та проведення телеконференцій, вебінарів : всеукраїнські заходи</v>
      </c>
    </row>
    <row r="59" spans="1:4" ht="18" x14ac:dyDescent="0.25">
      <c r="A59" s="182" t="s">
        <v>311</v>
      </c>
      <c r="B59" s="169" t="s">
        <v>319</v>
      </c>
      <c r="C59" s="265">
        <v>135</v>
      </c>
      <c r="D59" s="2" t="str">
        <f t="shared" si="0"/>
        <v>6.3 Керівництво науковою школою</v>
      </c>
    </row>
    <row r="60" spans="1:4" ht="18" x14ac:dyDescent="0.25">
      <c r="A60" s="182" t="s">
        <v>312</v>
      </c>
      <c r="B60" s="169" t="s">
        <v>320</v>
      </c>
      <c r="C60" s="265">
        <v>136</v>
      </c>
      <c r="D60" s="2" t="str">
        <f t="shared" si="0"/>
        <v>6.4 Відповідальний за наукову роботу на кафедрі</v>
      </c>
    </row>
    <row r="61" spans="1:4" ht="18" x14ac:dyDescent="0.25">
      <c r="A61" s="182" t="s">
        <v>313</v>
      </c>
      <c r="B61" s="169" t="s">
        <v>322</v>
      </c>
      <c r="C61" s="265">
        <v>137</v>
      </c>
      <c r="D61" s="2" t="str">
        <f t="shared" si="0"/>
        <v>6.5.1 Рецензування авторефератів на здобуття ступеня доктора філософії, доктора наук, періодичних видань, монографій, підруч-ників, навчальних посібників, наукових статей, студентських наукових робіт</v>
      </c>
    </row>
    <row r="62" spans="1:4" ht="18" x14ac:dyDescent="0.25">
      <c r="A62" s="182" t="s">
        <v>314</v>
      </c>
      <c r="B62" s="169" t="s">
        <v>323</v>
      </c>
      <c r="C62" s="265">
        <v>138</v>
      </c>
      <c r="D62" s="2" t="str">
        <f t="shared" si="0"/>
        <v>6.5.2 Рецензування видань іноземною мовою (окрім російської)</v>
      </c>
    </row>
    <row r="63" spans="1:4" ht="18" x14ac:dyDescent="0.25">
      <c r="A63" s="182" t="s">
        <v>315</v>
      </c>
      <c r="B63" s="169" t="s">
        <v>324</v>
      </c>
      <c r="C63" s="265">
        <v>139</v>
      </c>
      <c r="D63" s="2" t="str">
        <f t="shared" si="0"/>
        <v>6.6.1 Робота в редколегіях наукових журналів, в редакційних радах збірників праць та ін. : голова редколегії</v>
      </c>
    </row>
    <row r="64" spans="1:4" ht="18" x14ac:dyDescent="0.25">
      <c r="A64" s="182" t="s">
        <v>316</v>
      </c>
      <c r="B64" s="169" t="s">
        <v>325</v>
      </c>
      <c r="C64" s="265">
        <v>140</v>
      </c>
      <c r="D64" s="2" t="str">
        <f t="shared" si="0"/>
        <v>6.6.2 Робота в редколегіях наукових журналів, в редакційних радах збірників праць та ін. : заступник голови редколегії</v>
      </c>
    </row>
    <row r="65" spans="1:4" ht="18" x14ac:dyDescent="0.25">
      <c r="A65" s="182" t="s">
        <v>321</v>
      </c>
      <c r="B65" s="169" t="s">
        <v>326</v>
      </c>
      <c r="C65" s="265">
        <v>141</v>
      </c>
      <c r="D65" s="2" t="str">
        <f t="shared" si="0"/>
        <v>6.6.3 Робота в редколегіях наукових журналів, в редакційних радах збірників праць та ін. : члени редколегії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FFFF00"/>
  </sheetPr>
  <dimension ref="A1:D59"/>
  <sheetViews>
    <sheetView topLeftCell="A7" zoomScale="60" zoomScaleNormal="60" workbookViewId="0">
      <selection activeCell="O13" sqref="O13"/>
    </sheetView>
  </sheetViews>
  <sheetFormatPr defaultRowHeight="15" x14ac:dyDescent="0.25"/>
  <cols>
    <col min="1" max="1" width="7.85546875" style="191" customWidth="1"/>
    <col min="2" max="2" width="168.42578125" style="181" customWidth="1"/>
    <col min="3" max="3" width="24.5703125" customWidth="1"/>
    <col min="4" max="4" width="0" style="2" hidden="1" customWidth="1"/>
  </cols>
  <sheetData>
    <row r="1" spans="1:4" s="59" customFormat="1" ht="81" customHeight="1" x14ac:dyDescent="0.25">
      <c r="A1" s="180"/>
      <c r="B1" s="181"/>
      <c r="D1" s="2"/>
    </row>
    <row r="2" spans="1:4" ht="29.25" customHeight="1" x14ac:dyDescent="0.25">
      <c r="A2" s="268" t="s">
        <v>436</v>
      </c>
      <c r="B2" s="269" t="s">
        <v>439</v>
      </c>
      <c r="C2" s="269" t="s">
        <v>437</v>
      </c>
    </row>
    <row r="3" spans="1:4" x14ac:dyDescent="0.25">
      <c r="A3" s="200"/>
      <c r="B3" s="173"/>
      <c r="C3" s="199"/>
    </row>
    <row r="4" spans="1:4" x14ac:dyDescent="0.25">
      <c r="A4" s="200"/>
      <c r="B4" s="173"/>
      <c r="C4" s="199"/>
    </row>
    <row r="5" spans="1:4" x14ac:dyDescent="0.25">
      <c r="A5" s="200"/>
      <c r="B5" s="173"/>
      <c r="C5" s="199"/>
    </row>
    <row r="6" spans="1:4" x14ac:dyDescent="0.25">
      <c r="A6" s="200"/>
      <c r="B6" s="173"/>
      <c r="C6" s="199"/>
    </row>
    <row r="7" spans="1:4" x14ac:dyDescent="0.25">
      <c r="A7" s="200"/>
      <c r="B7" s="173"/>
      <c r="C7" s="199"/>
    </row>
    <row r="8" spans="1:4" x14ac:dyDescent="0.25">
      <c r="A8" s="200"/>
      <c r="B8" s="173"/>
      <c r="C8" s="199"/>
    </row>
    <row r="9" spans="1:4" x14ac:dyDescent="0.25">
      <c r="A9" s="200"/>
      <c r="B9" s="173"/>
      <c r="C9" s="199"/>
    </row>
    <row r="10" spans="1:4" x14ac:dyDescent="0.25">
      <c r="A10" s="200"/>
      <c r="B10" s="173"/>
      <c r="C10" s="199"/>
    </row>
    <row r="11" spans="1:4" x14ac:dyDescent="0.25">
      <c r="A11" s="200"/>
      <c r="B11" s="173"/>
      <c r="C11" s="199"/>
    </row>
    <row r="12" spans="1:4" x14ac:dyDescent="0.25">
      <c r="C12" s="59"/>
    </row>
    <row r="13" spans="1:4" ht="27" customHeight="1" x14ac:dyDescent="0.25">
      <c r="A13" s="268" t="s">
        <v>436</v>
      </c>
      <c r="B13" s="270" t="s">
        <v>439</v>
      </c>
      <c r="C13" s="269" t="s">
        <v>437</v>
      </c>
    </row>
    <row r="14" spans="1:4" ht="18" x14ac:dyDescent="0.25">
      <c r="A14" s="187" t="s">
        <v>247</v>
      </c>
      <c r="B14" s="188" t="s">
        <v>431</v>
      </c>
      <c r="C14" s="265">
        <v>142</v>
      </c>
      <c r="D14" s="2" t="str">
        <f>CONCATENATE(A14," ", B14)</f>
        <v>1.1.1 Робота в експертній раді МОН України:  (акредитація та ліцензування, наукові ступені)</v>
      </c>
    </row>
    <row r="15" spans="1:4" ht="18" x14ac:dyDescent="0.25">
      <c r="A15" s="187" t="s">
        <v>248</v>
      </c>
      <c r="B15" s="189" t="s">
        <v>367</v>
      </c>
      <c r="C15" s="265">
        <v>143</v>
      </c>
      <c r="D15" s="2" t="str">
        <f t="shared" ref="D15:D59" si="0">CONCATENATE(A15," ", B15)</f>
        <v xml:space="preserve">1.1.2 Робота в експертних радах міністерств та відомств </v>
      </c>
    </row>
    <row r="16" spans="1:4" ht="18" x14ac:dyDescent="0.25">
      <c r="A16" s="187" t="s">
        <v>327</v>
      </c>
      <c r="B16" s="189" t="s">
        <v>368</v>
      </c>
      <c r="C16" s="265">
        <v>144</v>
      </c>
      <c r="D16" s="2" t="str">
        <f t="shared" si="0"/>
        <v>1.1.3 Робота в колегіях МОН України (загальна участь, участь у проведенні атестацій)</v>
      </c>
    </row>
    <row r="17" spans="1:4" ht="18" x14ac:dyDescent="0.25">
      <c r="A17" s="187" t="s">
        <v>373</v>
      </c>
      <c r="B17" s="189" t="s">
        <v>369</v>
      </c>
      <c r="C17" s="265">
        <v>145</v>
      </c>
      <c r="D17" s="2" t="str">
        <f t="shared" si="0"/>
        <v xml:space="preserve">1.1.4 Робота в науково-методичних комісіях </v>
      </c>
    </row>
    <row r="18" spans="1:4" ht="18" x14ac:dyDescent="0.25">
      <c r="A18" s="187" t="s">
        <v>374</v>
      </c>
      <c r="B18" s="189" t="s">
        <v>370</v>
      </c>
      <c r="C18" s="265">
        <v>146</v>
      </c>
      <c r="D18" s="2" t="str">
        <f t="shared" si="0"/>
        <v xml:space="preserve">1.1.5 Робота в робочих групах міністерств </v>
      </c>
    </row>
    <row r="19" spans="1:4" ht="18" x14ac:dyDescent="0.25">
      <c r="A19" s="187" t="s">
        <v>375</v>
      </c>
      <c r="B19" s="189" t="s">
        <v>371</v>
      </c>
      <c r="C19" s="265">
        <v>147</v>
      </c>
      <c r="D19" s="2" t="str">
        <f t="shared" si="0"/>
        <v>1.1.6 Робота в колегіях облдержадміністрації</v>
      </c>
    </row>
    <row r="20" spans="1:4" ht="18" x14ac:dyDescent="0.25">
      <c r="A20" s="187" t="s">
        <v>376</v>
      </c>
      <c r="B20" s="189" t="s">
        <v>372</v>
      </c>
      <c r="C20" s="265">
        <v>148</v>
      </c>
      <c r="D20" s="2" t="str">
        <f t="shared" si="0"/>
        <v xml:space="preserve">1.1.7 Робота в комітетах різних рівнів </v>
      </c>
    </row>
    <row r="21" spans="1:4" ht="18" x14ac:dyDescent="0.25">
      <c r="A21" s="184" t="s">
        <v>378</v>
      </c>
      <c r="B21" s="192" t="s">
        <v>377</v>
      </c>
      <c r="C21" s="265">
        <v>149</v>
      </c>
      <c r="D21" s="2" t="str">
        <f t="shared" si="0"/>
        <v>1.3 Робота в Акредитаційній комісії  України, експертних і фахових радах</v>
      </c>
    </row>
    <row r="22" spans="1:4" ht="18" x14ac:dyDescent="0.25">
      <c r="A22" s="184" t="s">
        <v>379</v>
      </c>
      <c r="B22" s="193" t="s">
        <v>380</v>
      </c>
      <c r="C22" s="265">
        <v>150</v>
      </c>
      <c r="D22" s="2" t="str">
        <f t="shared" si="0"/>
        <v>1.4.1 Робота в спеціалізованих радах із захисту дисертацій: голова спеціалізованої ради</v>
      </c>
    </row>
    <row r="23" spans="1:4" ht="18" x14ac:dyDescent="0.25">
      <c r="A23" s="184" t="s">
        <v>331</v>
      </c>
      <c r="B23" s="193" t="s">
        <v>381</v>
      </c>
      <c r="C23" s="265">
        <v>151</v>
      </c>
      <c r="D23" s="2" t="str">
        <f t="shared" si="0"/>
        <v>1.4.2 Робота в спеціалізованих радах із захисту дисертацій: заступник голови спеціалізованої ради</v>
      </c>
    </row>
    <row r="24" spans="1:4" ht="18" x14ac:dyDescent="0.25">
      <c r="A24" s="184" t="s">
        <v>332</v>
      </c>
      <c r="B24" s="193" t="s">
        <v>382</v>
      </c>
      <c r="C24" s="265">
        <v>152</v>
      </c>
      <c r="D24" s="2" t="str">
        <f t="shared" si="0"/>
        <v>1.4.3 Робота в спеціалізованих радах із захисту дисертацій: вчений секретар та члени спеціалізованої ради</v>
      </c>
    </row>
    <row r="25" spans="1:4" ht="18" x14ac:dyDescent="0.25">
      <c r="A25" s="184" t="s">
        <v>333</v>
      </c>
      <c r="B25" s="193" t="s">
        <v>383</v>
      </c>
      <c r="C25" s="265">
        <v>153</v>
      </c>
      <c r="D25" s="2" t="str">
        <f t="shared" si="0"/>
        <v>1.4.4 Робота в спеціалізованих радах із захисту дисертацій: експерт в спеціалізованій раді, науковому семінарі зі спеціальності та на кафедрі щодо дисертації доктора наук</v>
      </c>
    </row>
    <row r="26" spans="1:4" ht="18" x14ac:dyDescent="0.25">
      <c r="A26" s="184" t="s">
        <v>334</v>
      </c>
      <c r="B26" s="193" t="s">
        <v>384</v>
      </c>
      <c r="C26" s="265">
        <v>154</v>
      </c>
      <c r="D26" s="2" t="str">
        <f t="shared" si="0"/>
        <v>1.4.5 Робота в спеціалізованих радах із захисту дисертацій: експерт в спеціалізованій раді, науковому семінарі зі спеціальності та на кафедрі щодо дисертації доктора філософії:</v>
      </c>
    </row>
    <row r="27" spans="1:4" ht="18" x14ac:dyDescent="0.25">
      <c r="A27" s="184" t="s">
        <v>385</v>
      </c>
      <c r="B27" s="189" t="s">
        <v>386</v>
      </c>
      <c r="C27" s="265">
        <v>155</v>
      </c>
      <c r="D27" s="2" t="str">
        <f t="shared" si="0"/>
        <v>1.5.1 Робота у вченій раді університету</v>
      </c>
    </row>
    <row r="28" spans="1:4" ht="18" x14ac:dyDescent="0.25">
      <c r="A28" s="184" t="s">
        <v>391</v>
      </c>
      <c r="B28" s="189" t="s">
        <v>387</v>
      </c>
      <c r="C28" s="265">
        <v>156</v>
      </c>
      <c r="D28" s="2" t="str">
        <f t="shared" si="0"/>
        <v>1.5.2 Робота у КТК університету</v>
      </c>
    </row>
    <row r="29" spans="1:4" ht="18" x14ac:dyDescent="0.25">
      <c r="A29" s="184" t="s">
        <v>330</v>
      </c>
      <c r="B29" s="189" t="s">
        <v>388</v>
      </c>
      <c r="C29" s="265">
        <v>157</v>
      </c>
      <c r="D29" s="2" t="str">
        <f t="shared" si="0"/>
        <v>1.5.3 Робота в науково-методичних радах і комісіях факультету</v>
      </c>
    </row>
    <row r="30" spans="1:4" ht="18" x14ac:dyDescent="0.25">
      <c r="A30" s="184" t="s">
        <v>392</v>
      </c>
      <c r="B30" s="189" t="s">
        <v>389</v>
      </c>
      <c r="C30" s="265">
        <v>158</v>
      </c>
      <c r="D30" s="2" t="str">
        <f t="shared" si="0"/>
        <v>1.5.4 Робота у вченій раді факультету</v>
      </c>
    </row>
    <row r="31" spans="1:4" ht="18" x14ac:dyDescent="0.25">
      <c r="A31" s="184" t="s">
        <v>393</v>
      </c>
      <c r="B31" s="189" t="s">
        <v>390</v>
      </c>
      <c r="C31" s="265">
        <v>159</v>
      </c>
      <c r="D31" s="2" t="str">
        <f t="shared" si="0"/>
        <v>1.6 Участь у засіданнях кафедри (організація, підготовка, доповідь)</v>
      </c>
    </row>
    <row r="32" spans="1:4" ht="18" x14ac:dyDescent="0.25">
      <c r="A32" s="184" t="s">
        <v>251</v>
      </c>
      <c r="B32" s="189" t="s">
        <v>394</v>
      </c>
      <c r="C32" s="265">
        <v>160</v>
      </c>
      <c r="D32" s="2" t="str">
        <f t="shared" si="0"/>
        <v>2.1.1 Участь в організації та проведенні позанавчаль-них культурно-спортив-них заходів для студентів</v>
      </c>
    </row>
    <row r="33" spans="1:4" ht="18" x14ac:dyDescent="0.25">
      <c r="A33" s="184" t="s">
        <v>252</v>
      </c>
      <c r="B33" s="189" t="s">
        <v>395</v>
      </c>
      <c r="C33" s="265">
        <v>161</v>
      </c>
      <c r="D33" s="2" t="str">
        <f t="shared" si="0"/>
        <v>2.1.2 Участь в організації та проведенні спортивно-виховної роботи студентів в гуртожитках</v>
      </c>
    </row>
    <row r="34" spans="1:4" ht="18" x14ac:dyDescent="0.25">
      <c r="A34" s="184" t="s">
        <v>253</v>
      </c>
      <c r="B34" s="189" t="s">
        <v>396</v>
      </c>
      <c r="C34" s="265">
        <v>162</v>
      </c>
      <c r="D34" s="2" t="str">
        <f t="shared" si="0"/>
        <v>2.1.3 Участь в організації та проведенні заходів щодо розвитку навичок самов-рядування та громадської діяльності студентів, а саме: конференцій, форумів, тренінгів тощо</v>
      </c>
    </row>
    <row r="35" spans="1:4" ht="18" x14ac:dyDescent="0.25">
      <c r="A35" s="184" t="s">
        <v>254</v>
      </c>
      <c r="B35" s="189" t="s">
        <v>397</v>
      </c>
      <c r="C35" s="265">
        <v>163</v>
      </c>
      <c r="D35" s="2" t="str">
        <f t="shared" si="0"/>
        <v>2.1.4 Участь в організації та проведенні конкурсів професійної майстерності за пріоритетними напрямами розвитку Університету</v>
      </c>
    </row>
    <row r="36" spans="1:4" ht="18" x14ac:dyDescent="0.25">
      <c r="A36" s="184" t="s">
        <v>353</v>
      </c>
      <c r="B36" s="189" t="s">
        <v>398</v>
      </c>
      <c r="C36" s="265">
        <v>164</v>
      </c>
      <c r="D36" s="2" t="str">
        <f t="shared" si="0"/>
        <v>2.1.5 Участь в організації та проведенні спортивно-оздоровчих заходів для НПП і співробітників університету</v>
      </c>
    </row>
    <row r="37" spans="1:4" ht="18" x14ac:dyDescent="0.25">
      <c r="A37" s="184" t="s">
        <v>354</v>
      </c>
      <c r="B37" s="189" t="s">
        <v>399</v>
      </c>
      <c r="C37" s="265">
        <v>165</v>
      </c>
      <c r="D37" s="2" t="str">
        <f t="shared" si="0"/>
        <v>2.1.6 Участь в організації та проведенні культурно-масових заходів для НПП і співробітників університету</v>
      </c>
    </row>
    <row r="38" spans="1:4" ht="18" x14ac:dyDescent="0.25">
      <c r="A38" s="184" t="s">
        <v>349</v>
      </c>
      <c r="B38" s="194" t="s">
        <v>403</v>
      </c>
      <c r="C38" s="265">
        <v>166</v>
      </c>
      <c r="D38" s="2" t="str">
        <f t="shared" si="0"/>
        <v>2.2.1 Виконання обов'язків куратора академічної групи: куратор академічної групи  1 курсу</v>
      </c>
    </row>
    <row r="39" spans="1:4" ht="18" x14ac:dyDescent="0.25">
      <c r="A39" s="184" t="s">
        <v>350</v>
      </c>
      <c r="B39" s="194" t="s">
        <v>404</v>
      </c>
      <c r="C39" s="265">
        <v>167</v>
      </c>
      <c r="D39" s="2" t="str">
        <f t="shared" si="0"/>
        <v>2.2.2 Виконання обов'язків куратора академічної групи: куратор академічної групи  2 курсу</v>
      </c>
    </row>
    <row r="40" spans="1:4" ht="18" x14ac:dyDescent="0.25">
      <c r="A40" s="184" t="s">
        <v>401</v>
      </c>
      <c r="B40" s="189" t="s">
        <v>429</v>
      </c>
      <c r="C40" s="265">
        <v>168</v>
      </c>
      <c r="D40" s="2" t="str">
        <f t="shared" si="0"/>
        <v>2.3 Відповідальний за підтримку роботи сайту кафедри, факультету, університету (розробка контенту, розміщення інформації)</v>
      </c>
    </row>
    <row r="41" spans="1:4" ht="18" x14ac:dyDescent="0.25">
      <c r="A41" s="184" t="s">
        <v>402</v>
      </c>
      <c r="B41" s="189" t="s">
        <v>400</v>
      </c>
      <c r="C41" s="265">
        <v>169</v>
      </c>
      <c r="D41" s="2" t="str">
        <f t="shared" si="0"/>
        <v>2.4 Виконання обов’язків прес-служби на факультеті</v>
      </c>
    </row>
    <row r="42" spans="1:4" ht="18" x14ac:dyDescent="0.25">
      <c r="A42" s="184" t="s">
        <v>341</v>
      </c>
      <c r="B42" s="189" t="s">
        <v>405</v>
      </c>
      <c r="C42" s="265">
        <v>170</v>
      </c>
      <c r="D42" s="2" t="str">
        <f t="shared" si="0"/>
        <v>3.1.1 Виконання обов’язків заступника декана</v>
      </c>
    </row>
    <row r="43" spans="1:4" ht="18" x14ac:dyDescent="0.25">
      <c r="A43" s="184" t="s">
        <v>342</v>
      </c>
      <c r="B43" s="189" t="s">
        <v>406</v>
      </c>
      <c r="C43" s="265">
        <v>171</v>
      </c>
      <c r="D43" s="2" t="str">
        <f t="shared" si="0"/>
        <v>3.1.2 Керівництво кафедрою, організація роботи кафедри (завідувач кафедри)</v>
      </c>
    </row>
    <row r="44" spans="1:4" ht="18" x14ac:dyDescent="0.25">
      <c r="A44" s="184" t="s">
        <v>408</v>
      </c>
      <c r="B44" s="189" t="s">
        <v>407</v>
      </c>
      <c r="C44" s="265">
        <v>172</v>
      </c>
      <c r="D44" s="2" t="str">
        <f t="shared" si="0"/>
        <v>3.1.3 Виконання обов’язків відповідального на кафедрі за ПНС</v>
      </c>
    </row>
    <row r="45" spans="1:4" s="59" customFormat="1" ht="18" x14ac:dyDescent="0.25">
      <c r="A45" s="184" t="s">
        <v>255</v>
      </c>
      <c r="B45" s="189" t="s">
        <v>409</v>
      </c>
      <c r="C45" s="265">
        <v>173</v>
      </c>
      <c r="D45" s="2" t="str">
        <f t="shared" si="0"/>
        <v>3.2.1 Керівник магістерської програми</v>
      </c>
    </row>
    <row r="46" spans="1:4" ht="18" x14ac:dyDescent="0.25">
      <c r="A46" s="184" t="s">
        <v>256</v>
      </c>
      <c r="B46" s="189" t="s">
        <v>430</v>
      </c>
      <c r="C46" s="265">
        <v>174</v>
      </c>
      <c r="D46" s="2" t="str">
        <f t="shared" si="0"/>
        <v>3.2.2 ввувввууввввввввчысв</v>
      </c>
    </row>
    <row r="47" spans="1:4" ht="18" x14ac:dyDescent="0.25">
      <c r="A47" s="184" t="s">
        <v>257</v>
      </c>
      <c r="B47" s="189" t="s">
        <v>410</v>
      </c>
      <c r="C47" s="265">
        <v>175</v>
      </c>
      <c r="D47" s="2" t="str">
        <f t="shared" si="0"/>
        <v>3.2.3 Куратор (консультант) варіативної складової освітньо-професійних програм</v>
      </c>
    </row>
    <row r="48" spans="1:4" ht="18" x14ac:dyDescent="0.25">
      <c r="A48" s="184" t="s">
        <v>258</v>
      </c>
      <c r="B48" s="189" t="s">
        <v>411</v>
      </c>
      <c r="C48" s="265">
        <v>176</v>
      </c>
      <c r="D48" s="2" t="str">
        <f t="shared" si="0"/>
        <v xml:space="preserve">3.2.4 Участь у робочій групі з актуальних питань організації навчального процесу </v>
      </c>
    </row>
    <row r="49" spans="1:4" ht="18" x14ac:dyDescent="0.25">
      <c r="A49" s="184" t="s">
        <v>263</v>
      </c>
      <c r="B49" s="189" t="s">
        <v>412</v>
      </c>
      <c r="C49" s="265">
        <v>177</v>
      </c>
      <c r="D49" s="2" t="str">
        <f t="shared" si="0"/>
        <v xml:space="preserve">4.1.1 Виконання обов’язків відповідального за організацію та керівника програми літньої (зимової) школи </v>
      </c>
    </row>
    <row r="50" spans="1:4" ht="18" x14ac:dyDescent="0.25">
      <c r="A50" s="184" t="s">
        <v>264</v>
      </c>
      <c r="B50" s="189" t="s">
        <v>413</v>
      </c>
      <c r="C50" s="265">
        <v>178</v>
      </c>
      <c r="D50" s="2" t="str">
        <f t="shared" si="0"/>
        <v xml:space="preserve">4.1.2 Участь у проведенні літньої (зимової) школи (занять та заходів) </v>
      </c>
    </row>
    <row r="51" spans="1:4" ht="18" x14ac:dyDescent="0.25">
      <c r="A51" s="184" t="s">
        <v>419</v>
      </c>
      <c r="B51" s="189" t="s">
        <v>414</v>
      </c>
      <c r="C51" s="265">
        <v>179</v>
      </c>
      <c r="D51" s="2" t="str">
        <f t="shared" si="0"/>
        <v>4.1.3 Організація співробіт-ництва з технікумами та коледжами</v>
      </c>
    </row>
    <row r="52" spans="1:4" ht="18" x14ac:dyDescent="0.25">
      <c r="A52" s="184" t="s">
        <v>420</v>
      </c>
      <c r="B52" s="189" t="s">
        <v>415</v>
      </c>
      <c r="C52" s="265">
        <v>180</v>
      </c>
      <c r="D52" s="2" t="str">
        <f t="shared" si="0"/>
        <v>4.1.4 Організація співробіт-ництва з загальноосвіт-німи навчальними закладами</v>
      </c>
    </row>
    <row r="53" spans="1:4" ht="18" x14ac:dyDescent="0.25">
      <c r="A53" s="184" t="s">
        <v>421</v>
      </c>
      <c r="B53" s="189" t="s">
        <v>416</v>
      </c>
      <c r="C53" s="265">
        <v>181</v>
      </c>
      <c r="D53" s="2" t="str">
        <f t="shared" si="0"/>
        <v>4.1.5 Організація співробіт-ництва з установами для співпраці з підготовки фахівців</v>
      </c>
    </row>
    <row r="54" spans="1:4" ht="18" x14ac:dyDescent="0.25">
      <c r="A54" s="184" t="s">
        <v>422</v>
      </c>
      <c r="B54" s="189" t="s">
        <v>417</v>
      </c>
      <c r="C54" s="265">
        <v>182</v>
      </c>
      <c r="D54" s="2" t="str">
        <f t="shared" si="0"/>
        <v>4.1.6 Організація і проведення консультацій та підготов-ка школярів до учнівських предметних олімпіад, конкурсів Малої академії наук, турнірів юних інформатиків, тощо</v>
      </c>
    </row>
    <row r="55" spans="1:4" ht="18" x14ac:dyDescent="0.25">
      <c r="A55" s="184" t="s">
        <v>423</v>
      </c>
      <c r="B55" s="189" t="s">
        <v>418</v>
      </c>
      <c r="C55" s="265">
        <v>183</v>
      </c>
      <c r="D55" s="2" t="str">
        <f t="shared" si="0"/>
        <v>4.1.7 Проведення профорієн-таційної роботи в соціальних мережах</v>
      </c>
    </row>
    <row r="56" spans="1:4" ht="18" x14ac:dyDescent="0.25">
      <c r="A56" s="184" t="s">
        <v>433</v>
      </c>
      <c r="B56" s="189" t="s">
        <v>434</v>
      </c>
      <c r="C56" s="265">
        <v>184</v>
      </c>
      <c r="D56" s="2" t="str">
        <f t="shared" si="0"/>
        <v>4.1.8 Проведення тестування та спывбесыди з метою виявлення рывня пыдготовки вступників</v>
      </c>
    </row>
    <row r="57" spans="1:4" ht="18" x14ac:dyDescent="0.25">
      <c r="A57" s="184" t="s">
        <v>424</v>
      </c>
      <c r="B57" s="190" t="s">
        <v>426</v>
      </c>
      <c r="C57" s="265">
        <v>185</v>
      </c>
      <c r="D57" s="2" t="str">
        <f t="shared" si="0"/>
        <v xml:space="preserve">5.1 Організація програми перебування студентів іноземних країн, аспіран-тів, викладачів в рамках програм мобільності </v>
      </c>
    </row>
    <row r="58" spans="1:4" ht="18" x14ac:dyDescent="0.25">
      <c r="A58" s="184" t="s">
        <v>425</v>
      </c>
      <c r="B58" s="190" t="s">
        <v>427</v>
      </c>
      <c r="C58" s="265">
        <v>186</v>
      </c>
      <c r="D58" s="2" t="str">
        <f t="shared" si="0"/>
        <v xml:space="preserve">5.2 Координація міжнародних магістерських програм </v>
      </c>
    </row>
    <row r="59" spans="1:4" ht="18" x14ac:dyDescent="0.25">
      <c r="A59" s="184" t="s">
        <v>295</v>
      </c>
      <c r="B59" s="190" t="s">
        <v>428</v>
      </c>
      <c r="C59" s="265">
        <v>187</v>
      </c>
      <c r="D59" s="2" t="str">
        <f t="shared" si="0"/>
        <v xml:space="preserve">5.3 Участь у міжнародних літніх школах, семінарах під патронатом МОН України, ЄС чи університетів-партнерів ХНЕУ ім. С. Кузнеця 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</vt:i4>
      </vt:variant>
    </vt:vector>
  </HeadingPairs>
  <TitlesOfParts>
    <vt:vector size="16" baseType="lpstr">
      <vt:lpstr>ТИТУЛ</vt:lpstr>
      <vt:lpstr>РОЗПОДІЛ</vt:lpstr>
      <vt:lpstr>НАВЧАЛЬНА РОБОТА</vt:lpstr>
      <vt:lpstr>МЕТОД+НАУК+ОРГАН</vt:lpstr>
      <vt:lpstr>ЗМІНИ ТА ВИСНОВКИ</vt:lpstr>
      <vt:lpstr>СПИСКИ (пароль 123)</vt:lpstr>
      <vt:lpstr>метод</vt:lpstr>
      <vt:lpstr>наук</vt:lpstr>
      <vt:lpstr>органз</vt:lpstr>
      <vt:lpstr>метод!Критерии</vt:lpstr>
      <vt:lpstr>наук!Критерии</vt:lpstr>
      <vt:lpstr>органз!Критерии</vt:lpstr>
      <vt:lpstr>'МЕТОД+НАУК+ОРГАН'!Область_печати</vt:lpstr>
      <vt:lpstr>'НАВЧАЛЬНА РОБОТА'!Область_печати</vt:lpstr>
      <vt:lpstr>РОЗПОДІЛ!Область_печати</vt:lpstr>
      <vt:lpstr>ТИТУЛ!Область_печати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Nastya</dc:creator>
  <cp:lastModifiedBy>Денис</cp:lastModifiedBy>
  <cp:lastPrinted>2017-05-22T07:00:15Z</cp:lastPrinted>
  <dcterms:created xsi:type="dcterms:W3CDTF">2000-04-07T11:39:21Z</dcterms:created>
  <dcterms:modified xsi:type="dcterms:W3CDTF">2017-06-08T07:52:59Z</dcterms:modified>
</cp:coreProperties>
</file>